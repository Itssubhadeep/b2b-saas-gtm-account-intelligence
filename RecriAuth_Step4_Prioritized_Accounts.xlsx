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Research Priorities" sheetId="1" state="visible" r:id="rId1"/>
    <sheet xmlns:r="http://schemas.openxmlformats.org/officeDocument/2006/relationships" name="Account Research" sheetId="2" state="visible" r:id="rId2"/>
    <sheet xmlns:r="http://schemas.openxmlformats.org/officeDocument/2006/relationships" name="Method &amp; Definitions" sheetId="3" state="visible" r:id="rId3"/>
    <sheet xmlns:r="http://schemas.openxmlformats.org/officeDocument/2006/relationships" name="Priority Model" sheetId="4" state="visible" r:id="rId4"/>
    <sheet xmlns:r="http://schemas.openxmlformats.org/officeDocument/2006/relationships" name="Scoring Guide" sheetId="5" state="visible" r:id="rId5"/>
  </sheets>
  <definedNames>
    <definedName name="_xlnm._FilterDatabase" localSheetId="1" hidden="1">'Account Research'!$A$1:$N$21</definedName>
    <definedName name="_xlnm._FilterDatabase" localSheetId="3" hidden="1">'Priority Model'!$A$1:$M$21</definedName>
  </definedNames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17">
    <font>
      <name val="Calibri"/>
      <family val="2"/>
      <color theme="1"/>
      <sz val="11"/>
      <scheme val="minor"/>
    </font>
    <font>
      <b val="1"/>
      <color rgb="00FFFFFF"/>
      <sz val="10"/>
    </font>
    <font>
      <color rgb="00596777"/>
      <sz val="10"/>
    </font>
    <font>
      <color rgb="0017734A"/>
      <sz val="10"/>
    </font>
    <font>
      <color rgb="009B641B"/>
      <sz val="10"/>
    </font>
    <font>
      <color rgb="002457A5"/>
      <sz val="10"/>
    </font>
    <font>
      <color rgb="0017734A"/>
      <sz val="10"/>
      <u val="single"/>
    </font>
    <font>
      <b val="1"/>
      <color rgb="00FFFFFF"/>
    </font>
    <font>
      <color rgb="00FFFFFF"/>
    </font>
    <font>
      <b val="1"/>
      <color rgb="00142A43"/>
    </font>
    <font>
      <color rgb="00333F4D"/>
    </font>
    <font>
      <name val="Aptos"/>
      <b val="1"/>
      <color rgb="00FFFFFF"/>
      <sz val="10"/>
    </font>
    <font>
      <name val="Aptos"/>
      <color rgb="00515C68"/>
      <sz val="10"/>
    </font>
    <font>
      <name val="Aptos"/>
      <color rgb="00000000"/>
      <sz val="10"/>
    </font>
    <font>
      <color rgb="002055B0"/>
      <sz val="10"/>
    </font>
    <font>
      <color rgb="0013795B"/>
      <sz val="10"/>
      <u val="single"/>
    </font>
    <font>
      <b val="1"/>
      <color rgb="00693FA0"/>
    </font>
  </fonts>
  <fills count="7">
    <fill>
      <patternFill/>
    </fill>
    <fill>
      <patternFill patternType="gray125"/>
    </fill>
    <fill>
      <patternFill patternType="solid">
        <fgColor rgb="00142A43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E9F1F5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6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top" wrapText="1"/>
    </xf>
    <xf numFmtId="0" fontId="13" fillId="3" borderId="0" applyAlignment="1" pivotButton="0" quotePrefix="0" xfId="0">
      <alignment vertical="top" wrapText="1"/>
    </xf>
    <xf numFmtId="2" fontId="13" fillId="3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2" fontId="13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0" fontId="14" fillId="3" borderId="0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9" fontId="16" fillId="3" borderId="0" applyAlignment="1" pivotButton="0" quotePrefix="0" xfId="0">
      <alignment vertical="top" wrapText="1"/>
    </xf>
    <xf numFmtId="9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areer.infosys.com/joblist" TargetMode="External" Id="rId1"/><Relationship Type="http://schemas.openxmlformats.org/officeDocument/2006/relationships/hyperlink" Target="https://www.tcs.com/careers/india" TargetMode="External" Id="rId2"/><Relationship Type="http://schemas.openxmlformats.org/officeDocument/2006/relationships/hyperlink" Target="https://careers.wipro.com/job/Bengaluru-HR-Business-Partner-IND-560035/210624-en_US/" TargetMode="External" Id="rId3"/><Relationship Type="http://schemas.openxmlformats.org/officeDocument/2006/relationships/hyperlink" Target="https://careers.hcltech.com/go/India/9553955/" TargetMode="External" Id="rId4"/><Relationship Type="http://schemas.openxmlformats.org/officeDocument/2006/relationships/hyperlink" Target="https://careers.techmahindra.com/" TargetMode="External" Id="rId5"/><Relationship Type="http://schemas.openxmlformats.org/officeDocument/2006/relationships/hyperlink" Target="https://careers.coforge.com/coforge/" TargetMode="External" Id="rId6"/><Relationship Type="http://schemas.openxmlformats.org/officeDocument/2006/relationships/hyperlink" Target="https://careers.persistent.com/jobview/dev-lead-india-noida-2026100716131920" TargetMode="External" Id="rId7"/><Relationship Type="http://schemas.openxmlformats.org/officeDocument/2006/relationships/hyperlink" Target="https://jobs.birlasoft.com/go/India/684744/" TargetMode="External" Id="rId8"/><Relationship Type="http://schemas.openxmlformats.org/officeDocument/2006/relationships/hyperlink" Target="https://www.zensar.com/careers" TargetMode="External" Id="rId9"/><Relationship Type="http://schemas.openxmlformats.org/officeDocument/2006/relationships/hyperlink" Target="https://www.zoho.com/careers/" TargetMode="External" Id="rId10"/><Relationship Type="http://schemas.openxmlformats.org/officeDocument/2006/relationships/hyperlink" Target="https://www.postman.com/company/careers/open-positions/" TargetMode="External" Id="rId11"/><Relationship Type="http://schemas.openxmlformats.org/officeDocument/2006/relationships/hyperlink" Target="https://clevertap.com/careers/" TargetMode="External" Id="rId12"/><Relationship Type="http://schemas.openxmlformats.org/officeDocument/2006/relationships/hyperlink" Target="https://whatfix101.hire.trakstar.com/" TargetMode="External" Id="rId13"/><Relationship Type="http://schemas.openxmlformats.org/officeDocument/2006/relationships/hyperlink" Target="https://darwinbox.com/en-us/careers" TargetMode="External" Id="rId14"/><Relationship Type="http://schemas.openxmlformats.org/officeDocument/2006/relationships/hyperlink" Target="https://careers.kissflow.com/" TargetMode="External" Id="rId15"/><Relationship Type="http://schemas.openxmlformats.org/officeDocument/2006/relationships/hyperlink" Target="https://www.chargebee.com/company/careers/join-us/" TargetMode="External" Id="rId16"/><Relationship Type="http://schemas.openxmlformats.org/officeDocument/2006/relationships/hyperlink" Target="https://www.highradius.com/about/career/" TargetMode="External" Id="rId17"/><Relationship Type="http://schemas.openxmlformats.org/officeDocument/2006/relationships/hyperlink" Target="https://careers.smartrecruiters.com/Freshworks" TargetMode="External" Id="rId18"/><Relationship Type="http://schemas.openxmlformats.org/officeDocument/2006/relationships/hyperlink" Target="https://www.moengage.com/careers/" TargetMode="External" Id="rId19"/><Relationship Type="http://schemas.openxmlformats.org/officeDocument/2006/relationships/hyperlink" Target="https://browserstack.wd3.myworkdayjobs.com/en-US/External/job/Sales-Development-Representative_JR103474" TargetMode="External" Id="rId20"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.infosys.com/joblist" TargetMode="External" Id="rId1"/><Relationship Type="http://schemas.openxmlformats.org/officeDocument/2006/relationships/hyperlink" Target="https://www.tcs.com/careers/india" TargetMode="External" Id="rId2"/><Relationship Type="http://schemas.openxmlformats.org/officeDocument/2006/relationships/hyperlink" Target="https://careers.wipro.com/job/Bengaluru-HR-Business-Partner-IND-560035/210624-en_US/" TargetMode="External" Id="rId3"/><Relationship Type="http://schemas.openxmlformats.org/officeDocument/2006/relationships/hyperlink" Target="https://careers.hcltech.com/go/India/9553955/" TargetMode="External" Id="rId4"/><Relationship Type="http://schemas.openxmlformats.org/officeDocument/2006/relationships/hyperlink" Target="https://careers.techmahindra.com/" TargetMode="External" Id="rId5"/><Relationship Type="http://schemas.openxmlformats.org/officeDocument/2006/relationships/hyperlink" Target="https://careers.coforge.com/coforge/" TargetMode="External" Id="rId6"/><Relationship Type="http://schemas.openxmlformats.org/officeDocument/2006/relationships/hyperlink" Target="https://careers.persistent.com/jobview/dev-lead-india-noida-2026100716131920" TargetMode="External" Id="rId7"/><Relationship Type="http://schemas.openxmlformats.org/officeDocument/2006/relationships/hyperlink" Target="https://jobs.birlasoft.com/go/India/684744/" TargetMode="External" Id="rId8"/><Relationship Type="http://schemas.openxmlformats.org/officeDocument/2006/relationships/hyperlink" Target="https://www.zensar.com/careers" TargetMode="External" Id="rId9"/><Relationship Type="http://schemas.openxmlformats.org/officeDocument/2006/relationships/hyperlink" Target="https://www.zoho.com/careers/" TargetMode="External" Id="rId10"/><Relationship Type="http://schemas.openxmlformats.org/officeDocument/2006/relationships/hyperlink" Target="https://www.postman.com/company/careers/open-positions/" TargetMode="External" Id="rId11"/><Relationship Type="http://schemas.openxmlformats.org/officeDocument/2006/relationships/hyperlink" Target="https://clevertap.com/careers/" TargetMode="External" Id="rId12"/><Relationship Type="http://schemas.openxmlformats.org/officeDocument/2006/relationships/hyperlink" Target="https://whatfix101.hire.trakstar.com/" TargetMode="External" Id="rId13"/><Relationship Type="http://schemas.openxmlformats.org/officeDocument/2006/relationships/hyperlink" Target="https://darwinbox.com/en-us/careers" TargetMode="External" Id="rId14"/><Relationship Type="http://schemas.openxmlformats.org/officeDocument/2006/relationships/hyperlink" Target="https://careers.kissflow.com/" TargetMode="External" Id="rId15"/><Relationship Type="http://schemas.openxmlformats.org/officeDocument/2006/relationships/hyperlink" Target="https://www.chargebee.com/company/careers/join-us/" TargetMode="External" Id="rId16"/><Relationship Type="http://schemas.openxmlformats.org/officeDocument/2006/relationships/hyperlink" Target="https://www.highradius.com/about/career/" TargetMode="External" Id="rId17"/><Relationship Type="http://schemas.openxmlformats.org/officeDocument/2006/relationships/hyperlink" Target="https://careers.smartrecruiters.com/Freshworks" TargetMode="External" Id="rId18"/><Relationship Type="http://schemas.openxmlformats.org/officeDocument/2006/relationships/hyperlink" Target="https://www.moengage.com/careers/" TargetMode="External" Id="rId19"/><Relationship Type="http://schemas.openxmlformats.org/officeDocument/2006/relationships/hyperlink" Target="https://browserstack.wd3.myworkdayjobs.com/en-US/External/job/Sales-Development-Representative_JR10347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19" customWidth="1" min="3" max="3"/>
    <col width="15" customWidth="1" min="4" max="4"/>
    <col width="18" customWidth="1" min="5" max="5"/>
    <col width="16" customWidth="1" min="6" max="6"/>
    <col width="22" customWidth="1" min="7" max="7"/>
    <col width="22" customWidth="1" min="8" max="8"/>
    <col width="65" customWidth="1" min="9" max="9"/>
    <col width="55" customWidth="1" min="10" max="10"/>
  </cols>
  <sheetData>
    <row r="1" ht="34" customHeight="1">
      <c r="A1" s="18" t="inlineStr">
        <is>
          <t>Rank</t>
        </is>
      </c>
      <c r="B1" s="18" t="inlineStr">
        <is>
          <t>Company</t>
        </is>
      </c>
      <c r="C1" s="18" t="inlineStr">
        <is>
          <t>Segment</t>
        </is>
      </c>
      <c r="D1" s="18" t="inlineStr">
        <is>
          <t>Score / 5</t>
        </is>
      </c>
      <c r="E1" s="18" t="inlineStr">
        <is>
          <t>Hiring evidence</t>
        </is>
      </c>
      <c r="F1" s="18" t="inlineStr">
        <is>
          <t>Complexity</t>
        </is>
      </c>
      <c r="G1" s="18" t="inlineStr">
        <is>
          <t>Product relevance*</t>
        </is>
      </c>
      <c r="H1" s="18" t="inlineStr">
        <is>
          <t>Research accessibility*</t>
        </is>
      </c>
      <c r="I1" s="18" t="inlineStr">
        <is>
          <t>Official source URL</t>
        </is>
      </c>
      <c r="J1" s="18" t="inlineStr">
        <is>
          <t>Next research action</t>
        </is>
      </c>
    </row>
    <row r="2" ht="54" customHeight="1">
      <c r="A2" s="19" t="n">
        <v>1</v>
      </c>
      <c r="B2" s="20">
        <f>INDEX('Priority Model'!$B$2:$B$21,MATCH($A2,'Priority Model'!$I$2:$I$21,0))</f>
        <v/>
      </c>
      <c r="C2" s="20">
        <f>INDEX('Priority Model'!$C$2:$C$21,MATCH($A2,'Priority Model'!$I$2:$I$21,0))</f>
        <v/>
      </c>
      <c r="D2" s="21">
        <f>INDEX('Priority Model'!$H$2:$H$21,MATCH($A2,'Priority Model'!$I$2:$I$21,0))</f>
        <v/>
      </c>
      <c r="E2" s="20">
        <f>INDEX('Priority Model'!$D$2:$D$21,MATCH($A2,'Priority Model'!$I$2:$I$21,0))</f>
        <v/>
      </c>
      <c r="F2" s="20">
        <f>INDEX('Priority Model'!$E$2:$E$21,MATCH($A2,'Priority Model'!$I$2:$I$21,0))</f>
        <v/>
      </c>
      <c r="G2" s="20">
        <f>INDEX('Priority Model'!$F$2:$F$21,MATCH($A2,'Priority Model'!$I$2:$I$21,0))</f>
        <v/>
      </c>
      <c r="H2" s="20">
        <f>INDEX('Priority Model'!$G$2:$G$21,MATCH($A2,'Priority Model'!$I$2:$I$21,0))</f>
        <v/>
      </c>
      <c r="I2" s="20">
        <f>INDEX('Priority Model'!$L$2:$L$21,MATCH($A2,'Priority Model'!$I$2:$I$21,0))</f>
        <v/>
      </c>
      <c r="J2" s="20">
        <f>INDEX('Priority Model'!$M$2:$M$21,MATCH($A2,'Priority Model'!$I$2:$I$21,0))</f>
        <v/>
      </c>
    </row>
    <row r="3" ht="54" customHeight="1">
      <c r="A3" s="22" t="n">
        <v>2</v>
      </c>
      <c r="B3" s="23">
        <f>INDEX('Priority Model'!$B$2:$B$21,MATCH($A3,'Priority Model'!$I$2:$I$21,0))</f>
        <v/>
      </c>
      <c r="C3" s="23">
        <f>INDEX('Priority Model'!$C$2:$C$21,MATCH($A3,'Priority Model'!$I$2:$I$21,0))</f>
        <v/>
      </c>
      <c r="D3" s="24">
        <f>INDEX('Priority Model'!$H$2:$H$21,MATCH($A3,'Priority Model'!$I$2:$I$21,0))</f>
        <v/>
      </c>
      <c r="E3" s="23">
        <f>INDEX('Priority Model'!$D$2:$D$21,MATCH($A3,'Priority Model'!$I$2:$I$21,0))</f>
        <v/>
      </c>
      <c r="F3" s="23">
        <f>INDEX('Priority Model'!$E$2:$E$21,MATCH($A3,'Priority Model'!$I$2:$I$21,0))</f>
        <v/>
      </c>
      <c r="G3" s="23">
        <f>INDEX('Priority Model'!$F$2:$F$21,MATCH($A3,'Priority Model'!$I$2:$I$21,0))</f>
        <v/>
      </c>
      <c r="H3" s="23">
        <f>INDEX('Priority Model'!$G$2:$G$21,MATCH($A3,'Priority Model'!$I$2:$I$21,0))</f>
        <v/>
      </c>
      <c r="I3" s="23">
        <f>INDEX('Priority Model'!$L$2:$L$21,MATCH($A3,'Priority Model'!$I$2:$I$21,0))</f>
        <v/>
      </c>
      <c r="J3" s="23">
        <f>INDEX('Priority Model'!$M$2:$M$21,MATCH($A3,'Priority Model'!$I$2:$I$21,0))</f>
        <v/>
      </c>
    </row>
    <row r="4" ht="54" customHeight="1">
      <c r="A4" s="19" t="n">
        <v>3</v>
      </c>
      <c r="B4" s="20">
        <f>INDEX('Priority Model'!$B$2:$B$21,MATCH($A4,'Priority Model'!$I$2:$I$21,0))</f>
        <v/>
      </c>
      <c r="C4" s="20">
        <f>INDEX('Priority Model'!$C$2:$C$21,MATCH($A4,'Priority Model'!$I$2:$I$21,0))</f>
        <v/>
      </c>
      <c r="D4" s="21">
        <f>INDEX('Priority Model'!$H$2:$H$21,MATCH($A4,'Priority Model'!$I$2:$I$21,0))</f>
        <v/>
      </c>
      <c r="E4" s="20">
        <f>INDEX('Priority Model'!$D$2:$D$21,MATCH($A4,'Priority Model'!$I$2:$I$21,0))</f>
        <v/>
      </c>
      <c r="F4" s="20">
        <f>INDEX('Priority Model'!$E$2:$E$21,MATCH($A4,'Priority Model'!$I$2:$I$21,0))</f>
        <v/>
      </c>
      <c r="G4" s="20">
        <f>INDEX('Priority Model'!$F$2:$F$21,MATCH($A4,'Priority Model'!$I$2:$I$21,0))</f>
        <v/>
      </c>
      <c r="H4" s="20">
        <f>INDEX('Priority Model'!$G$2:$G$21,MATCH($A4,'Priority Model'!$I$2:$I$21,0))</f>
        <v/>
      </c>
      <c r="I4" s="20">
        <f>INDEX('Priority Model'!$L$2:$L$21,MATCH($A4,'Priority Model'!$I$2:$I$21,0))</f>
        <v/>
      </c>
      <c r="J4" s="20">
        <f>INDEX('Priority Model'!$M$2:$M$21,MATCH($A4,'Priority Model'!$I$2:$I$21,0))</f>
        <v/>
      </c>
    </row>
    <row r="5" ht="54" customHeight="1">
      <c r="A5" s="22" t="n">
        <v>4</v>
      </c>
      <c r="B5" s="23">
        <f>INDEX('Priority Model'!$B$2:$B$21,MATCH($A5,'Priority Model'!$I$2:$I$21,0))</f>
        <v/>
      </c>
      <c r="C5" s="23">
        <f>INDEX('Priority Model'!$C$2:$C$21,MATCH($A5,'Priority Model'!$I$2:$I$21,0))</f>
        <v/>
      </c>
      <c r="D5" s="24">
        <f>INDEX('Priority Model'!$H$2:$H$21,MATCH($A5,'Priority Model'!$I$2:$I$21,0))</f>
        <v/>
      </c>
      <c r="E5" s="23">
        <f>INDEX('Priority Model'!$D$2:$D$21,MATCH($A5,'Priority Model'!$I$2:$I$21,0))</f>
        <v/>
      </c>
      <c r="F5" s="23">
        <f>INDEX('Priority Model'!$E$2:$E$21,MATCH($A5,'Priority Model'!$I$2:$I$21,0))</f>
        <v/>
      </c>
      <c r="G5" s="23">
        <f>INDEX('Priority Model'!$F$2:$F$21,MATCH($A5,'Priority Model'!$I$2:$I$21,0))</f>
        <v/>
      </c>
      <c r="H5" s="23">
        <f>INDEX('Priority Model'!$G$2:$G$21,MATCH($A5,'Priority Model'!$I$2:$I$21,0))</f>
        <v/>
      </c>
      <c r="I5" s="23">
        <f>INDEX('Priority Model'!$L$2:$L$21,MATCH($A5,'Priority Model'!$I$2:$I$21,0))</f>
        <v/>
      </c>
      <c r="J5" s="23">
        <f>INDEX('Priority Model'!$M$2:$M$21,MATCH($A5,'Priority Model'!$I$2:$I$21,0))</f>
        <v/>
      </c>
    </row>
    <row r="6" ht="54" customHeight="1">
      <c r="A6" s="19" t="n">
        <v>5</v>
      </c>
      <c r="B6" s="20">
        <f>INDEX('Priority Model'!$B$2:$B$21,MATCH($A6,'Priority Model'!$I$2:$I$21,0))</f>
        <v/>
      </c>
      <c r="C6" s="20">
        <f>INDEX('Priority Model'!$C$2:$C$21,MATCH($A6,'Priority Model'!$I$2:$I$21,0))</f>
        <v/>
      </c>
      <c r="D6" s="21">
        <f>INDEX('Priority Model'!$H$2:$H$21,MATCH($A6,'Priority Model'!$I$2:$I$21,0))</f>
        <v/>
      </c>
      <c r="E6" s="20">
        <f>INDEX('Priority Model'!$D$2:$D$21,MATCH($A6,'Priority Model'!$I$2:$I$21,0))</f>
        <v/>
      </c>
      <c r="F6" s="20">
        <f>INDEX('Priority Model'!$E$2:$E$21,MATCH($A6,'Priority Model'!$I$2:$I$21,0))</f>
        <v/>
      </c>
      <c r="G6" s="20">
        <f>INDEX('Priority Model'!$F$2:$F$21,MATCH($A6,'Priority Model'!$I$2:$I$21,0))</f>
        <v/>
      </c>
      <c r="H6" s="20">
        <f>INDEX('Priority Model'!$G$2:$G$21,MATCH($A6,'Priority Model'!$I$2:$I$21,0))</f>
        <v/>
      </c>
      <c r="I6" s="20">
        <f>INDEX('Priority Model'!$L$2:$L$21,MATCH($A6,'Priority Model'!$I$2:$I$21,0))</f>
        <v/>
      </c>
      <c r="J6" s="20">
        <f>INDEX('Priority Model'!$M$2:$M$21,MATCH($A6,'Priority Model'!$I$2:$I$21,0))</f>
        <v/>
      </c>
    </row>
    <row r="7" ht="54" customHeight="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  <row r="8" ht="54" customHeight="1">
      <c r="A8" s="19" t="n"/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54" customHeight="1">
      <c r="A9" s="22" t="inlineStr">
        <is>
          <t>* Product relevance and research accessibility are analyst assessments, not independently verified facts.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54" customHeight="1">
      <c r="A10" s="19" t="inlineStr">
        <is>
          <t>These are research priorities only. No outreach, buyer intent, budget, or deal qualification is implied.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</row>
  </sheetData>
  <mergeCells count="2">
    <mergeCell ref="A10:J10"/>
    <mergeCell ref="A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18" customWidth="1" min="4" max="4"/>
    <col width="63" customWidth="1" min="5" max="5"/>
    <col width="62" customWidth="1" min="6" max="6"/>
    <col width="28" customWidth="1" min="7" max="7"/>
    <col width="21" customWidth="1" min="8" max="8"/>
    <col width="58" customWidth="1" min="9" max="9"/>
    <col width="37" customWidth="1" min="10" max="10"/>
    <col width="31" customWidth="1" min="11" max="11"/>
    <col width="60" customWidth="1" min="12" max="12"/>
    <col width="24" customWidth="1" min="13" max="13"/>
    <col width="36" customWidth="1" min="14" max="14"/>
  </cols>
  <sheetData>
    <row r="1" ht="36" customHeight="1">
      <c r="A1" s="1" t="inlineStr">
        <is>
          <t>ID</t>
        </is>
      </c>
      <c r="B1" s="1" t="inlineStr">
        <is>
          <t>Company</t>
        </is>
      </c>
      <c r="C1" s="1" t="inlineStr">
        <is>
          <t>Segment</t>
        </is>
      </c>
      <c r="D1" s="1" t="inlineStr">
        <is>
          <t>Geographic relevance</t>
        </is>
      </c>
      <c r="E1" s="1" t="inlineStr">
        <is>
          <t>Verified public signal (fact)</t>
        </is>
      </c>
      <c r="F1" s="1" t="inlineStr">
        <is>
          <t>Exact official source URL</t>
        </is>
      </c>
      <c r="G1" s="1" t="inlineStr">
        <is>
          <t>Evidence strength</t>
        </is>
      </c>
      <c r="H1" s="1" t="inlineStr">
        <is>
          <t>Evidence checked (date)</t>
        </is>
      </c>
      <c r="I1" s="1" t="inlineStr">
        <is>
          <t>Verification use case (hypothesis)</t>
        </is>
      </c>
      <c r="J1" s="1" t="inlineStr">
        <is>
          <t>Buyer persona (hypothesis; role only)</t>
        </is>
      </c>
      <c r="K1" s="1" t="inlineStr">
        <is>
          <t>Vendor / budget / purchase intent</t>
        </is>
      </c>
      <c r="L1" s="1" t="inlineStr">
        <is>
          <t>Next research action</t>
        </is>
      </c>
      <c r="M1" s="1" t="inlineStr">
        <is>
          <t>Research status</t>
        </is>
      </c>
      <c r="N1" s="1" t="inlineStr">
        <is>
          <t>Notes / corrections</t>
        </is>
      </c>
    </row>
    <row r="2" ht="76" customHeight="1">
      <c r="A2" s="2" t="n">
        <v>1</v>
      </c>
      <c r="B2" s="3" t="inlineStr">
        <is>
          <t>Infosys</t>
        </is>
      </c>
      <c r="C2" s="2" t="inlineStr">
        <is>
          <t>IT services</t>
        </is>
      </c>
      <c r="D2" s="2" t="inlineStr">
        <is>
          <t>India</t>
        </is>
      </c>
      <c r="E2" s="3" t="inlineStr">
        <is>
          <t>India job portal lists multiple technology and consulting roles in Bengaluru, Hyderabad and Pune.</t>
        </is>
      </c>
      <c r="F2" s="4" t="inlineStr">
        <is>
          <t>https://career.infosys.com/joblist</t>
        </is>
      </c>
      <c r="G2" s="3" t="inlineStr">
        <is>
          <t>Specific India vacancies</t>
        </is>
      </c>
      <c r="H2" s="25" t="n">
        <v>46318</v>
      </c>
      <c r="I2" s="6" t="inlineStr">
        <is>
          <t>Multi-location verification coordination</t>
        </is>
      </c>
      <c r="J2" s="6" t="inlineStr">
        <is>
          <t>Head of Talent Acquisition</t>
        </is>
      </c>
      <c r="K2" s="6" t="inlineStr">
        <is>
          <t>Unknown; not verified</t>
        </is>
      </c>
      <c r="L2" s="7" t="inlineStr">
        <is>
          <t>Check hiring channels and whether verification is centralized.</t>
        </is>
      </c>
      <c r="M2" s="7" t="inlineStr">
        <is>
          <t>Desk research only</t>
        </is>
      </c>
      <c r="N2" s="7" t="inlineStr"/>
    </row>
    <row r="3" ht="76" customHeight="1">
      <c r="A3" s="8" t="n">
        <v>2</v>
      </c>
      <c r="B3" s="9" t="inlineStr">
        <is>
          <t>TCS</t>
        </is>
      </c>
      <c r="C3" s="8" t="inlineStr">
        <is>
          <t>IT services</t>
        </is>
      </c>
      <c r="D3" s="8" t="inlineStr">
        <is>
          <t>India</t>
        </is>
      </c>
      <c r="E3" s="9" t="inlineStr">
        <is>
          <t>India careers page offers entry-level and lateral recruitment; lists background-check agency partner access.</t>
        </is>
      </c>
      <c r="F3" s="10" t="inlineStr">
        <is>
          <t>https://www.tcs.com/careers/india</t>
        </is>
      </c>
      <c r="G3" s="9" t="inlineStr">
        <is>
          <t>Recruitment process / agency access</t>
        </is>
      </c>
      <c r="H3" s="26" t="n">
        <v>46318</v>
      </c>
      <c r="I3" s="12" t="inlineStr">
        <is>
          <t>Coordination across graduate and lateral verification; mature incumbent process likely</t>
        </is>
      </c>
      <c r="J3" s="12" t="inlineStr">
        <is>
          <t>Head of HR Operations</t>
        </is>
      </c>
      <c r="K3" s="12" t="inlineStr">
        <is>
          <t>Unknown; not verified</t>
        </is>
      </c>
      <c r="L3" s="13" t="inlineStr">
        <is>
          <t>Research whether vendor access indicates an established screening ecosystem.</t>
        </is>
      </c>
      <c r="M3" s="13" t="inlineStr">
        <is>
          <t>Desk research only</t>
        </is>
      </c>
      <c r="N3" s="13" t="inlineStr"/>
    </row>
    <row r="4" ht="76" customHeight="1">
      <c r="A4" s="2" t="n">
        <v>3</v>
      </c>
      <c r="B4" s="3" t="inlineStr">
        <is>
          <t>Wipro</t>
        </is>
      </c>
      <c r="C4" s="2" t="inlineStr">
        <is>
          <t>IT services</t>
        </is>
      </c>
      <c r="D4" s="2" t="inlineStr">
        <is>
          <t>India</t>
        </is>
      </c>
      <c r="E4" s="3" t="inlineStr">
        <is>
          <t>Official Wipro job posting lists HR Business Partner role in Bengaluru dated 16 Oct 2026.</t>
        </is>
      </c>
      <c r="F4" s="4" t="inlineStr">
        <is>
          <t>https://careers.wipro.com/job/Bengaluru-HR-Business-Partner-IND-560035/210624-en_US/</t>
        </is>
      </c>
      <c r="G4" s="3" t="inlineStr">
        <is>
          <t>Dated India vacancy</t>
        </is>
      </c>
      <c r="H4" s="25" t="n">
        <v>46318</v>
      </c>
      <c r="I4" s="6" t="inlineStr">
        <is>
          <t>Consistent onboarding controls across teams</t>
        </is>
      </c>
      <c r="J4" s="6" t="inlineStr">
        <is>
          <t>HR Operations Director</t>
        </is>
      </c>
      <c r="K4" s="6" t="inlineStr">
        <is>
          <t>Unknown; not verified</t>
        </is>
      </c>
      <c r="L4" s="7" t="inlineStr">
        <is>
          <t>Find additional current roles and screening policy.</t>
        </is>
      </c>
      <c r="M4" s="7" t="inlineStr">
        <is>
          <t>Desk research only</t>
        </is>
      </c>
      <c r="N4" s="7" t="inlineStr"/>
    </row>
    <row r="5" ht="76" customHeight="1">
      <c r="A5" s="8" t="n">
        <v>4</v>
      </c>
      <c r="B5" s="9" t="inlineStr">
        <is>
          <t>HCLTech</t>
        </is>
      </c>
      <c r="C5" s="8" t="inlineStr">
        <is>
          <t>IT services</t>
        </is>
      </c>
      <c r="D5" s="8" t="inlineStr">
        <is>
          <t>India</t>
        </is>
      </c>
      <c r="E5" s="9" t="inlineStr">
        <is>
          <t>Official India careers portal publishes India openings and job alerts.</t>
        </is>
      </c>
      <c r="F5" s="10" t="inlineStr">
        <is>
          <t>https://careers.hcltech.com/go/India/9553955/</t>
        </is>
      </c>
      <c r="G5" s="9" t="inlineStr">
        <is>
          <t>India recruitment portal</t>
        </is>
      </c>
      <c r="H5" s="26" t="n">
        <v>46318</v>
      </c>
      <c r="I5" s="12" t="inlineStr">
        <is>
          <t>Graduate and lateral screening workflow</t>
        </is>
      </c>
      <c r="J5" s="12" t="inlineStr">
        <is>
          <t>Talent Acquisition Operations Lead</t>
        </is>
      </c>
      <c r="K5" s="12" t="inlineStr">
        <is>
          <t>Unknown; not verified</t>
        </is>
      </c>
      <c r="L5" s="13" t="inlineStr">
        <is>
          <t>Find individual dated India vacancies.</t>
        </is>
      </c>
      <c r="M5" s="13" t="inlineStr">
        <is>
          <t>Desk research only</t>
        </is>
      </c>
      <c r="N5" s="13" t="inlineStr"/>
    </row>
    <row r="6" ht="76" customHeight="1">
      <c r="A6" s="2" t="n">
        <v>5</v>
      </c>
      <c r="B6" s="3" t="inlineStr">
        <is>
          <t>Tech Mahindra</t>
        </is>
      </c>
      <c r="C6" s="2" t="inlineStr">
        <is>
          <t>IT services</t>
        </is>
      </c>
      <c r="D6" s="2" t="inlineStr">
        <is>
          <t>India</t>
        </is>
      </c>
      <c r="E6" s="3" t="inlineStr">
        <is>
          <t>Official job portal lists Bengaluru engineering, Hyderabad network, Kolkata data science and Mumbai cybersecurity roles.</t>
        </is>
      </c>
      <c r="F6" s="4" t="inlineStr">
        <is>
          <t>https://careers.techmahindra.com/</t>
        </is>
      </c>
      <c r="G6" s="3" t="inlineStr">
        <is>
          <t>Specific India vacancies</t>
        </is>
      </c>
      <c r="H6" s="25" t="n">
        <v>46318</v>
      </c>
      <c r="I6" s="6" t="inlineStr">
        <is>
          <t>Multi-city hiring verification visibility</t>
        </is>
      </c>
      <c r="J6" s="6" t="inlineStr">
        <is>
          <t>Head of Recruitment Operations</t>
        </is>
      </c>
      <c r="K6" s="6" t="inlineStr">
        <is>
          <t>Unknown; not verified</t>
        </is>
      </c>
      <c r="L6" s="7" t="inlineStr">
        <is>
          <t>Review hiring divisions and existing screening workflow.</t>
        </is>
      </c>
      <c r="M6" s="7" t="inlineStr">
        <is>
          <t>Desk research only</t>
        </is>
      </c>
      <c r="N6" s="7" t="inlineStr"/>
    </row>
    <row r="7" ht="76" customHeight="1">
      <c r="A7" s="8" t="n">
        <v>6</v>
      </c>
      <c r="B7" s="9" t="inlineStr">
        <is>
          <t>Coforge</t>
        </is>
      </c>
      <c r="C7" s="8" t="inlineStr">
        <is>
          <t>IT services</t>
        </is>
      </c>
      <c r="D7" s="8" t="inlineStr">
        <is>
          <t>India</t>
        </is>
      </c>
      <c r="E7" s="9" t="inlineStr">
        <is>
          <t>Official portal lists 107 India openings and cities including Greater Noida, Bengaluru, Hyderabad, Chennai (changing snapshot).</t>
        </is>
      </c>
      <c r="F7" s="10" t="inlineStr">
        <is>
          <t>https://careers.coforge.com/coforge/</t>
        </is>
      </c>
      <c r="G7" s="9" t="inlineStr">
        <is>
          <t>India vacancies + portal count</t>
        </is>
      </c>
      <c r="H7" s="26" t="n">
        <v>46318</v>
      </c>
      <c r="I7" s="12" t="inlineStr">
        <is>
          <t>Centralized status tracking for multiple hiring sites</t>
        </is>
      </c>
      <c r="J7" s="12" t="inlineStr">
        <is>
          <t>Head of Talent Acquisition</t>
        </is>
      </c>
      <c r="K7" s="12" t="inlineStr">
        <is>
          <t>Unknown; not verified</t>
        </is>
      </c>
      <c r="L7" s="13" t="inlineStr">
        <is>
          <t>Refresh India job count; investigate BPS versus IT hiring.</t>
        </is>
      </c>
      <c r="M7" s="13" t="inlineStr">
        <is>
          <t>Desk research only</t>
        </is>
      </c>
      <c r="N7" s="13" t="inlineStr"/>
    </row>
    <row r="8" ht="76" customHeight="1">
      <c r="A8" s="2" t="n">
        <v>7</v>
      </c>
      <c r="B8" s="3" t="inlineStr">
        <is>
          <t>Persistent Systems</t>
        </is>
      </c>
      <c r="C8" s="2" t="inlineStr">
        <is>
          <t>Digital engineering</t>
        </is>
      </c>
      <c r="D8" s="2" t="inlineStr">
        <is>
          <t>India</t>
        </is>
      </c>
      <c r="E8" s="3" t="inlineStr">
        <is>
          <t>Official job posting describes Senior Network Security Engineer in Noida.</t>
        </is>
      </c>
      <c r="F8" s="4" t="inlineStr">
        <is>
          <t>https://careers.persistent.com/jobview/dev-lead-india-noida-2026100716131920</t>
        </is>
      </c>
      <c r="G8" s="3" t="inlineStr">
        <is>
          <t>Specific India vacancy</t>
        </is>
      </c>
      <c r="H8" s="25" t="n">
        <v>46318</v>
      </c>
      <c r="I8" s="6" t="inlineStr">
        <is>
          <t>Screening specialist technical hires</t>
        </is>
      </c>
      <c r="J8" s="6" t="inlineStr">
        <is>
          <t>Talent Acquisition Lead</t>
        </is>
      </c>
      <c r="K8" s="6" t="inlineStr">
        <is>
          <t>Unknown; not verified</t>
        </is>
      </c>
      <c r="L8" s="7" t="inlineStr">
        <is>
          <t>Find hiring volume indicators and screening ownership.</t>
        </is>
      </c>
      <c r="M8" s="7" t="inlineStr">
        <is>
          <t>Desk research only</t>
        </is>
      </c>
      <c r="N8" s="7" t="inlineStr"/>
    </row>
    <row r="9" ht="76" customHeight="1">
      <c r="A9" s="8" t="n">
        <v>8</v>
      </c>
      <c r="B9" s="9" t="inlineStr">
        <is>
          <t>Birlasoft</t>
        </is>
      </c>
      <c r="C9" s="8" t="inlineStr">
        <is>
          <t>IT services</t>
        </is>
      </c>
      <c r="D9" s="8" t="inlineStr">
        <is>
          <t>India</t>
        </is>
      </c>
      <c r="E9" s="9" t="inlineStr">
        <is>
          <t>Official India openings portal lists 22 Oct 2026 vacancies in Hyderabad, Pune, Noida and Bengaluru.</t>
        </is>
      </c>
      <c r="F9" s="10" t="inlineStr">
        <is>
          <t>https://jobs.birlasoft.com/go/India/684744/</t>
        </is>
      </c>
      <c r="G9" s="9" t="inlineStr">
        <is>
          <t>Dated multi-city vacancies</t>
        </is>
      </c>
      <c r="H9" s="26" t="n">
        <v>46318</v>
      </c>
      <c r="I9" s="12" t="inlineStr">
        <is>
          <t>Consistent employee screening across delivery centers</t>
        </is>
      </c>
      <c r="J9" s="12" t="inlineStr">
        <is>
          <t>Head of HR Operations</t>
        </is>
      </c>
      <c r="K9" s="12" t="inlineStr">
        <is>
          <t>Unknown; not verified</t>
        </is>
      </c>
      <c r="L9" s="13" t="inlineStr">
        <is>
          <t>Confirm current postings and relevant HR decision function.</t>
        </is>
      </c>
      <c r="M9" s="13" t="inlineStr">
        <is>
          <t>Desk research only</t>
        </is>
      </c>
      <c r="N9" s="13" t="inlineStr"/>
    </row>
    <row r="10" ht="76" customHeight="1">
      <c r="A10" s="2" t="n">
        <v>9</v>
      </c>
      <c r="B10" s="3" t="inlineStr">
        <is>
          <t>Zensar Technologies</t>
        </is>
      </c>
      <c r="C10" s="2" t="inlineStr">
        <is>
          <t>IT services</t>
        </is>
      </c>
      <c r="D10" s="2" t="inlineStr">
        <is>
          <t>India</t>
        </is>
      </c>
      <c r="E10" s="3" t="inlineStr">
        <is>
          <t>Official careers site offers India/APAC opportunity search and describes global teams including Pune.</t>
        </is>
      </c>
      <c r="F10" s="4" t="inlineStr">
        <is>
          <t>https://www.zensar.com/careers</t>
        </is>
      </c>
      <c r="G10" s="3" t="inlineStr">
        <is>
          <t>Recruitment portal only</t>
        </is>
      </c>
      <c r="H10" s="25" t="n">
        <v>46318</v>
      </c>
      <c r="I10" s="6" t="inlineStr">
        <is>
          <t>Structured verification for multi-location recruiting</t>
        </is>
      </c>
      <c r="J10" s="6" t="inlineStr">
        <is>
          <t>Head of Talent Acquisition</t>
        </is>
      </c>
      <c r="K10" s="6" t="inlineStr">
        <is>
          <t>Unknown; not verified</t>
        </is>
      </c>
      <c r="L10" s="7" t="inlineStr">
        <is>
          <t>Identify a specific India opening before personalization.</t>
        </is>
      </c>
      <c r="M10" s="7" t="inlineStr">
        <is>
          <t>Desk research only</t>
        </is>
      </c>
      <c r="N10" s="7" t="inlineStr"/>
    </row>
    <row r="11" ht="76" customHeight="1">
      <c r="A11" s="8" t="n">
        <v>10</v>
      </c>
      <c r="B11" s="9" t="inlineStr">
        <is>
          <t>Zoho</t>
        </is>
      </c>
      <c r="C11" s="8" t="inlineStr">
        <is>
          <t>SaaS</t>
        </is>
      </c>
      <c r="D11" s="8" t="inlineStr">
        <is>
          <t>India</t>
        </is>
      </c>
      <c r="E11" s="9" t="inlineStr">
        <is>
          <t>Official careers page offers open roles and candidate portal; lists Chennai and Tenkasi offices.</t>
        </is>
      </c>
      <c r="F11" s="10" t="inlineStr">
        <is>
          <t>https://www.zoho.com/careers/</t>
        </is>
      </c>
      <c r="G11" s="9" t="inlineStr">
        <is>
          <t>Recruitment portal only</t>
        </is>
      </c>
      <c r="H11" s="26" t="n">
        <v>46318</v>
      </c>
      <c r="I11" s="12" t="inlineStr">
        <is>
          <t>Verification across engineering and sales hiring</t>
        </is>
      </c>
      <c r="J11" s="12" t="inlineStr">
        <is>
          <t>Talent Acquisition Head</t>
        </is>
      </c>
      <c r="K11" s="12" t="inlineStr">
        <is>
          <t>Unknown; not verified</t>
        </is>
      </c>
      <c r="L11" s="13" t="inlineStr">
        <is>
          <t>Confirm India vacancies and whether screening is in-house.</t>
        </is>
      </c>
      <c r="M11" s="13" t="inlineStr">
        <is>
          <t>Desk research only</t>
        </is>
      </c>
      <c r="N11" s="13" t="inlineStr"/>
    </row>
    <row r="12" ht="76" customHeight="1">
      <c r="A12" s="2" t="n">
        <v>11</v>
      </c>
      <c r="B12" s="3" t="inlineStr">
        <is>
          <t>Postman</t>
        </is>
      </c>
      <c r="C12" s="2" t="inlineStr">
        <is>
          <t>SaaS</t>
        </is>
      </c>
      <c r="D12" s="2" t="inlineStr">
        <is>
          <t>India</t>
        </is>
      </c>
      <c r="E12" s="3" t="inlineStr">
        <is>
          <t>Official portal lists Bangalore engineering and sales compensation roles; 29 global open positions at snapshot.</t>
        </is>
      </c>
      <c r="F12" s="4" t="inlineStr">
        <is>
          <t>https://www.postman.com/company/careers/open-positions/</t>
        </is>
      </c>
      <c r="G12" s="3" t="inlineStr">
        <is>
          <t>Specific India vacancies</t>
        </is>
      </c>
      <c r="H12" s="25" t="n">
        <v>46318</v>
      </c>
      <c r="I12" s="6" t="inlineStr">
        <is>
          <t>Cross-functional onboarding verification</t>
        </is>
      </c>
      <c r="J12" s="6" t="inlineStr">
        <is>
          <t>People Operations Lead</t>
        </is>
      </c>
      <c r="K12" s="6" t="inlineStr">
        <is>
          <t>Unknown; not verified</t>
        </is>
      </c>
      <c r="L12" s="7" t="inlineStr">
        <is>
          <t>Verify Bangalore roles remain open; research procurement.</t>
        </is>
      </c>
      <c r="M12" s="7" t="inlineStr">
        <is>
          <t>Desk research only</t>
        </is>
      </c>
      <c r="N12" s="7" t="inlineStr"/>
    </row>
    <row r="13" ht="76" customHeight="1">
      <c r="A13" s="8" t="n">
        <v>12</v>
      </c>
      <c r="B13" s="9" t="inlineStr">
        <is>
          <t>CleverTap</t>
        </is>
      </c>
      <c r="C13" s="8" t="inlineStr">
        <is>
          <t>SaaS</t>
        </is>
      </c>
      <c r="D13" s="8" t="inlineStr">
        <is>
          <t>India</t>
        </is>
      </c>
      <c r="E13" s="9" t="inlineStr">
        <is>
          <t>Official careers page reports 550+ employees and lists openings in Bangalore and Gurgaon.</t>
        </is>
      </c>
      <c r="F13" s="10" t="inlineStr">
        <is>
          <t>https://clevertap.com/careers/</t>
        </is>
      </c>
      <c r="G13" s="9" t="inlineStr">
        <is>
          <t>India vacancies + workforce claim</t>
        </is>
      </c>
      <c r="H13" s="26" t="n">
        <v>46318</v>
      </c>
      <c r="I13" s="12" t="inlineStr">
        <is>
          <t>Consistent screening across offices and functions</t>
        </is>
      </c>
      <c r="J13" s="12" t="inlineStr">
        <is>
          <t>Head of People Operations</t>
        </is>
      </c>
      <c r="K13" s="12" t="inlineStr">
        <is>
          <t>Unknown; not verified</t>
        </is>
      </c>
      <c r="L13" s="13" t="inlineStr">
        <is>
          <t>Review India roles and existing HR tools.</t>
        </is>
      </c>
      <c r="M13" s="13" t="inlineStr">
        <is>
          <t>Desk research only</t>
        </is>
      </c>
      <c r="N13" s="13" t="inlineStr"/>
    </row>
    <row r="14" ht="76" customHeight="1">
      <c r="A14" s="2" t="n">
        <v>13</v>
      </c>
      <c r="B14" s="3" t="inlineStr">
        <is>
          <t>Whatfix</t>
        </is>
      </c>
      <c r="C14" s="2" t="inlineStr">
        <is>
          <t>SaaS</t>
        </is>
      </c>
      <c r="D14" s="2" t="inlineStr">
        <is>
          <t>India</t>
        </is>
      </c>
      <c r="E14" s="3" t="inlineStr">
        <is>
          <t>Official hiring portal shows Bengaluru finance, engineering and security vacancies; official site describes AI screening for some roles.</t>
        </is>
      </c>
      <c r="F14" s="4" t="inlineStr">
        <is>
          <t>https://whatfix101.hire.trakstar.com/</t>
        </is>
      </c>
      <c r="G14" s="3" t="inlineStr">
        <is>
          <t>Specific India vacancies</t>
        </is>
      </c>
      <c r="H14" s="25" t="n">
        <v>46318</v>
      </c>
      <c r="I14" s="6" t="inlineStr">
        <is>
          <t>Connect recruiting process to post-offer checks</t>
        </is>
      </c>
      <c r="J14" s="6" t="inlineStr">
        <is>
          <t>Head of Talent Acquisition</t>
        </is>
      </c>
      <c r="K14" s="6" t="inlineStr">
        <is>
          <t>Unknown; not verified</t>
        </is>
      </c>
      <c r="L14" s="7" t="inlineStr">
        <is>
          <t>Check whether post-offer verification is distinct from AI interviews.</t>
        </is>
      </c>
      <c r="M14" s="7" t="inlineStr">
        <is>
          <t>Desk research only</t>
        </is>
      </c>
      <c r="N14" s="7" t="inlineStr"/>
    </row>
    <row r="15" ht="76" customHeight="1">
      <c r="A15" s="8" t="n">
        <v>14</v>
      </c>
      <c r="B15" s="9" t="inlineStr">
        <is>
          <t>Darwinbox</t>
        </is>
      </c>
      <c r="C15" s="8" t="inlineStr">
        <is>
          <t>HR SaaS</t>
        </is>
      </c>
      <c r="D15" s="8" t="inlineStr">
        <is>
          <t>India</t>
        </is>
      </c>
      <c r="E15" s="9" t="inlineStr">
        <is>
          <t>Official careers page lists India locations Hyderabad, Mumbai, Gurugram, Bengaluru, Chennai and role families.</t>
        </is>
      </c>
      <c r="F15" s="10" t="inlineStr">
        <is>
          <t>https://darwinbox.com/en-us/careers</t>
        </is>
      </c>
      <c r="G15" s="9" t="inlineStr">
        <is>
          <t>Recruitment portal + locations</t>
        </is>
      </c>
      <c r="H15" s="26" t="n">
        <v>46318</v>
      </c>
      <c r="I15" s="12" t="inlineStr">
        <is>
          <t>Potential integration/partner opportunity; also internal screening</t>
        </is>
      </c>
      <c r="J15" s="12" t="inlineStr">
        <is>
          <t>Partnerships Lead / HR Operations Lead</t>
        </is>
      </c>
      <c r="K15" s="12" t="inlineStr">
        <is>
          <t>Unknown; not verified</t>
        </is>
      </c>
      <c r="L15" s="13" t="inlineStr">
        <is>
          <t>Evaluate HRMS integration and competitor/partner overlap.</t>
        </is>
      </c>
      <c r="M15" s="13" t="inlineStr">
        <is>
          <t>Desk research only</t>
        </is>
      </c>
      <c r="N15" s="13" t="inlineStr"/>
    </row>
    <row r="16" ht="76" customHeight="1">
      <c r="A16" s="2" t="n">
        <v>15</v>
      </c>
      <c r="B16" s="3" t="inlineStr">
        <is>
          <t>Kissflow</t>
        </is>
      </c>
      <c r="C16" s="2" t="inlineStr">
        <is>
          <t>SaaS</t>
        </is>
      </c>
      <c r="D16" s="2" t="inlineStr">
        <is>
          <t>India</t>
        </is>
      </c>
      <c r="E16" s="3" t="inlineStr">
        <is>
          <t>Official careers page lists Solution Advisor and Client Director openings.</t>
        </is>
      </c>
      <c r="F16" s="4" t="inlineStr">
        <is>
          <t>https://careers.kissflow.com/</t>
        </is>
      </c>
      <c r="G16" s="3" t="inlineStr">
        <is>
          <t>Specific roles; location unclear</t>
        </is>
      </c>
      <c r="H16" s="25" t="n">
        <v>46318</v>
      </c>
      <c r="I16" s="6" t="inlineStr">
        <is>
          <t>Verification for specialist and client-facing hiring</t>
        </is>
      </c>
      <c r="J16" s="6" t="inlineStr">
        <is>
          <t>Head of People Operations</t>
        </is>
      </c>
      <c r="K16" s="6" t="inlineStr">
        <is>
          <t>Unknown; not verified</t>
        </is>
      </c>
      <c r="L16" s="7" t="inlineStr">
        <is>
          <t>Verify whether listed roles are India-based.</t>
        </is>
      </c>
      <c r="M16" s="7" t="inlineStr">
        <is>
          <t>Desk research only</t>
        </is>
      </c>
      <c r="N16" s="7" t="inlineStr"/>
    </row>
    <row r="17" ht="76" customHeight="1">
      <c r="A17" s="8" t="n">
        <v>16</v>
      </c>
      <c r="B17" s="9" t="inlineStr">
        <is>
          <t>Chargebee</t>
        </is>
      </c>
      <c r="C17" s="8" t="inlineStr">
        <is>
          <t>SaaS</t>
        </is>
      </c>
      <c r="D17" s="8" t="inlineStr">
        <is>
          <t>India</t>
        </is>
      </c>
      <c r="E17" s="9" t="inlineStr">
        <is>
          <t>Official recruitment guide describes recruiter screening, assignments and functional interviews.</t>
        </is>
      </c>
      <c r="F17" s="10" t="inlineStr">
        <is>
          <t>https://www.chargebee.com/company/careers/join-us/</t>
        </is>
      </c>
      <c r="G17" s="9" t="inlineStr">
        <is>
          <t>Recruitment process only</t>
        </is>
      </c>
      <c r="H17" s="26" t="n">
        <v>46318</v>
      </c>
      <c r="I17" s="12" t="inlineStr">
        <is>
          <t>Potential post-offer verification workflow</t>
        </is>
      </c>
      <c r="J17" s="12" t="inlineStr">
        <is>
          <t>Talent Acquisition Lead</t>
        </is>
      </c>
      <c r="K17" s="12" t="inlineStr">
        <is>
          <t>Unknown; not verified</t>
        </is>
      </c>
      <c r="L17" s="13" t="inlineStr">
        <is>
          <t>Find current India vacancies; do not assume active hiring.</t>
        </is>
      </c>
      <c r="M17" s="13" t="inlineStr">
        <is>
          <t>Desk research only</t>
        </is>
      </c>
      <c r="N17" s="13" t="inlineStr"/>
    </row>
    <row r="18" ht="76" customHeight="1">
      <c r="A18" s="2" t="n">
        <v>17</v>
      </c>
      <c r="B18" s="3" t="inlineStr">
        <is>
          <t>HighRadius</t>
        </is>
      </c>
      <c r="C18" s="2" t="inlineStr">
        <is>
          <t>SaaS</t>
        </is>
      </c>
      <c r="D18" s="2" t="inlineStr">
        <is>
          <t>India</t>
        </is>
      </c>
      <c r="E18" s="3" t="inlineStr">
        <is>
          <t>Official careers page lists Hyderabad roles dated 2026, including Employee Experience Partner and engineering positions.</t>
        </is>
      </c>
      <c r="F18" s="4" t="inlineStr">
        <is>
          <t>https://www.highradius.com/about/career/</t>
        </is>
      </c>
      <c r="G18" s="3" t="inlineStr">
        <is>
          <t>Dated India vacancies</t>
        </is>
      </c>
      <c r="H18" s="25" t="n">
        <v>46318</v>
      </c>
      <c r="I18" s="6" t="inlineStr">
        <is>
          <t>Coordinated verification for technical and corporate hires</t>
        </is>
      </c>
      <c r="J18" s="6" t="inlineStr">
        <is>
          <t>Head of People Operations</t>
        </is>
      </c>
      <c r="K18" s="6" t="inlineStr">
        <is>
          <t>Unknown; not verified</t>
        </is>
      </c>
      <c r="L18" s="7" t="inlineStr">
        <is>
          <t>Confirm which Hyderabad roles are open and buyer responsibility.</t>
        </is>
      </c>
      <c r="M18" s="7" t="inlineStr">
        <is>
          <t>Desk research only</t>
        </is>
      </c>
      <c r="N18" s="7" t="inlineStr"/>
    </row>
    <row r="19" ht="76" customHeight="1">
      <c r="A19" s="8" t="n">
        <v>18</v>
      </c>
      <c r="B19" s="9" t="inlineStr">
        <is>
          <t>Freshworks</t>
        </is>
      </c>
      <c r="C19" s="8" t="inlineStr">
        <is>
          <t>SaaS</t>
        </is>
      </c>
      <c r="D19" s="8" t="inlineStr">
        <is>
          <t>India</t>
        </is>
      </c>
      <c r="E19" s="9" t="inlineStr">
        <is>
          <t>Official recruiting platform lists India vacancies in Bengaluru and Chennai.</t>
        </is>
      </c>
      <c r="F19" s="10" t="inlineStr">
        <is>
          <t>https://careers.smartrecruiters.com/Freshworks</t>
        </is>
      </c>
      <c r="G19" s="9" t="inlineStr">
        <is>
          <t>Specific India vacancies</t>
        </is>
      </c>
      <c r="H19" s="26" t="n">
        <v>46318</v>
      </c>
      <c r="I19" s="12" t="inlineStr">
        <is>
          <t>Standardized verification across technical and customer-facing roles</t>
        </is>
      </c>
      <c r="J19" s="12" t="inlineStr">
        <is>
          <t>Talent Acquisition Operations Lead</t>
        </is>
      </c>
      <c r="K19" s="12" t="inlineStr">
        <is>
          <t>Unknown; not verified</t>
        </is>
      </c>
      <c r="L19" s="13" t="inlineStr">
        <is>
          <t>Check recent role mix and existing HR workflows.</t>
        </is>
      </c>
      <c r="M19" s="13" t="inlineStr">
        <is>
          <t>Desk research only</t>
        </is>
      </c>
      <c r="N19" s="13" t="inlineStr"/>
    </row>
    <row r="20" ht="76" customHeight="1">
      <c r="A20" s="2" t="n">
        <v>19</v>
      </c>
      <c r="B20" s="3" t="inlineStr">
        <is>
          <t>MoEngage</t>
        </is>
      </c>
      <c r="C20" s="2" t="inlineStr">
        <is>
          <t>SaaS</t>
        </is>
      </c>
      <c r="D20" s="2" t="inlineStr">
        <is>
          <t>India</t>
        </is>
      </c>
      <c r="E20" s="3" t="inlineStr">
        <is>
          <t>Official careers site provides applications for Engineering, Sales, Customer Success and People &amp; Culture.</t>
        </is>
      </c>
      <c r="F20" s="4" t="inlineStr">
        <is>
          <t>https://www.moengage.com/careers/</t>
        </is>
      </c>
      <c r="G20" s="3" t="inlineStr">
        <is>
          <t>Recruitment channels only</t>
        </is>
      </c>
      <c r="H20" s="25" t="n">
        <v>46318</v>
      </c>
      <c r="I20" s="6" t="inlineStr">
        <is>
          <t>Cross-functional employee screening workflow</t>
        </is>
      </c>
      <c r="J20" s="6" t="inlineStr">
        <is>
          <t>Head of People &amp; Culture</t>
        </is>
      </c>
      <c r="K20" s="6" t="inlineStr">
        <is>
          <t>Unknown; not verified</t>
        </is>
      </c>
      <c r="L20" s="7" t="inlineStr">
        <is>
          <t>Confirm current India openings and hiring cadence.</t>
        </is>
      </c>
      <c r="M20" s="7" t="inlineStr">
        <is>
          <t>Desk research only</t>
        </is>
      </c>
      <c r="N20" s="7" t="inlineStr"/>
    </row>
    <row r="21" ht="76" customHeight="1">
      <c r="A21" s="8" t="n">
        <v>20</v>
      </c>
      <c r="B21" s="9" t="inlineStr">
        <is>
          <t>BrowserStack</t>
        </is>
      </c>
      <c r="C21" s="8" t="inlineStr">
        <is>
          <t>SaaS</t>
        </is>
      </c>
      <c r="D21" s="8" t="inlineStr">
        <is>
          <t>India</t>
        </is>
      </c>
      <c r="E21" s="9" t="inlineStr">
        <is>
          <t>Official Workday listing advertises Business Development Representative, India Remote.</t>
        </is>
      </c>
      <c r="F21" s="10" t="inlineStr">
        <is>
          <t>https://browserstack.wd3.myworkdayjobs.com/en-US/External/job/Sales-Development-Representative_JR103474</t>
        </is>
      </c>
      <c r="G21" s="9" t="inlineStr">
        <is>
          <t>Specific India vacancy</t>
        </is>
      </c>
      <c r="H21" s="26" t="n">
        <v>46318</v>
      </c>
      <c r="I21" s="12" t="inlineStr">
        <is>
          <t>Verification for remote and distributed hiring</t>
        </is>
      </c>
      <c r="J21" s="12" t="inlineStr">
        <is>
          <t>Head of Talent Acquisition</t>
        </is>
      </c>
      <c r="K21" s="12" t="inlineStr">
        <is>
          <t>Unknown; not verified</t>
        </is>
      </c>
      <c r="L21" s="13" t="inlineStr">
        <is>
          <t>Confirm listing still active and how remote hiring is screened.</t>
        </is>
      </c>
      <c r="M21" s="13" t="inlineStr">
        <is>
          <t>Desk research only</t>
        </is>
      </c>
      <c r="N21" s="13" t="inlineStr"/>
    </row>
  </sheetData>
  <autoFilter ref="A1:N21"/>
  <dataValidations count="1">
    <dataValidation sqref="M2:M500" showDropDown="0" showInputMessage="0" showErrorMessage="0" allowBlank="0" type="list">
      <formula1>"Desk research only,Needs verification,Reviewed,Excluded"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1" customWidth="1" min="1" max="1"/>
    <col width="112" customWidth="1" min="2" max="2"/>
  </cols>
  <sheetData>
    <row r="1" ht="45" customHeight="1">
      <c r="A1" s="14" t="inlineStr">
        <is>
          <t>RECRIAUTH | INDEPENDENT GTM RESEARCH</t>
        </is>
      </c>
      <c r="B1" s="15" t="inlineStr"/>
    </row>
    <row r="2" ht="35" customHeight="1">
      <c r="A2" s="16" t="inlineStr">
        <is>
          <t>Scope</t>
        </is>
      </c>
      <c r="B2" s="17" t="inlineStr">
        <is>
          <t>20 real IT services / SaaS organizations with India-related hiring or workforce evidence.</t>
        </is>
      </c>
    </row>
    <row r="3" ht="35" customHeight="1">
      <c r="A3" s="16" t="inlineStr">
        <is>
          <t>As-of date</t>
        </is>
      </c>
      <c r="B3" s="17" t="inlineStr">
        <is>
          <t>23 October 2026. Job portals are dynamic; snapshot counts may change.</t>
        </is>
      </c>
    </row>
    <row r="4" ht="35" customHeight="1">
      <c r="A4" s="16" t="inlineStr">
        <is>
          <t>Affiliation</t>
        </is>
      </c>
      <c r="B4" s="17" t="inlineStr">
        <is>
          <t>Independent educational portfolio exercise; not affiliated with Recrivio or the listed companies.</t>
        </is>
      </c>
    </row>
    <row r="5" ht="35" customHeight="1">
      <c r="A5" s="16" t="inlineStr">
        <is>
          <t>Verified facts</t>
        </is>
      </c>
      <c r="B5" s="17" t="inlineStr">
        <is>
          <t>Only statements supported by the exact official URL in each account row.</t>
        </is>
      </c>
    </row>
    <row r="6" ht="35" customHeight="1">
      <c r="A6" s="16" t="inlineStr">
        <is>
          <t>Evidence strength</t>
        </is>
      </c>
      <c r="B6" s="17" t="inlineStr">
        <is>
          <t>Dated India vacancy &gt; specific India vacancy &gt; recruitment program/portal &gt; workforce-only signal. Not a purchase-intent score.</t>
        </is>
      </c>
    </row>
    <row r="7" ht="35" customHeight="1">
      <c r="A7" s="16" t="inlineStr">
        <is>
          <t>Hypotheses</t>
        </is>
      </c>
      <c r="B7" s="17" t="inlineStr">
        <is>
          <t>Potential verification use cases and buyer roles are reasoned possibilities, not claims of existing needs or actual contacts.</t>
        </is>
      </c>
    </row>
    <row r="8" ht="35" customHeight="1">
      <c r="A8" s="16" t="inlineStr">
        <is>
          <t>Unknowns</t>
        </is>
      </c>
      <c r="B8" s="17" t="inlineStr">
        <is>
          <t>No verified vendor, budget, procurement timing, decision maker, buying intent, relationship or deal size.</t>
        </is>
      </c>
    </row>
    <row r="9" ht="35" customHeight="1">
      <c r="A9" s="16" t="inlineStr">
        <is>
          <t>No outreach performed</t>
        </is>
      </c>
      <c r="B9" s="17" t="inlineStr">
        <is>
          <t>Research status is desk research only; no emails sent, meetings booked or sales generated.</t>
        </is>
      </c>
    </row>
    <row r="10" ht="35" customHeight="1">
      <c r="A10" s="16" t="inlineStr">
        <is>
          <t>Prioritization</t>
        </is>
      </c>
      <c r="B10" s="17" t="inlineStr">
        <is>
          <t>Step 4 will score accounts transparently; no commercial score assigned in this workbook.</t>
        </is>
      </c>
    </row>
    <row r="11" ht="35" customHeight="1">
      <c r="A11" s="16" t="inlineStr">
        <is>
          <t>Research practice</t>
        </is>
      </c>
      <c r="B11" s="17" t="inlineStr">
        <is>
          <t>Before outbound, revisit URLs, confirm a current hiring signal, validate fit, and check vendor conflicts and privacy/compliance.</t>
        </is>
      </c>
    </row>
    <row r="12" ht="35" customHeight="1">
      <c r="A12" s="16" t="inlineStr">
        <is>
          <t>Color key</t>
        </is>
      </c>
      <c r="B12" s="17" t="inlineStr">
        <is>
          <t>Green = imported source fact; orange = hypothesis/unknown; blue = editable follow-up; gray = static context.</t>
        </is>
      </c>
    </row>
    <row r="13" ht="35" customHeight="1">
      <c r="A13" s="16" t="inlineStr">
        <is>
          <t>Evidence caveat</t>
        </is>
      </c>
      <c r="B13" s="17" t="inlineStr">
        <is>
          <t>A general careers page or hiring process does not prove an active India vacancy. Some sources are weaker than others.</t>
        </is>
      </c>
    </row>
    <row r="14" ht="35" customHeight="1">
      <c r="A14" s="16" t="inlineStr">
        <is>
          <t>Privacy</t>
        </is>
      </c>
      <c r="B14" s="17" t="inlineStr">
        <is>
          <t>Buyer personas are role categories only; no individual names, personal emails, or contact details collected.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3" customWidth="1" min="2" max="2"/>
    <col width="18" customWidth="1" min="3" max="3"/>
    <col width="17" customWidth="1" min="4" max="4"/>
    <col width="16" customWidth="1" min="5" max="5"/>
    <col width="23" customWidth="1" min="6" max="6"/>
    <col width="21" customWidth="1" min="7" max="7"/>
    <col width="18" customWidth="1" min="8" max="8"/>
    <col width="9" customWidth="1" min="9" max="9"/>
    <col width="65" customWidth="1" min="10" max="10"/>
    <col width="65" customWidth="1" min="11" max="11"/>
    <col width="55" customWidth="1" min="12" max="12"/>
    <col width="55" customWidth="1" min="13" max="13"/>
  </cols>
  <sheetData>
    <row r="1" ht="34" customHeight="1">
      <c r="A1" s="18" t="inlineStr">
        <is>
          <t>ID</t>
        </is>
      </c>
      <c r="B1" s="18" t="inlineStr">
        <is>
          <t>Company</t>
        </is>
      </c>
      <c r="C1" s="18" t="inlineStr">
        <is>
          <t>Segment</t>
        </is>
      </c>
      <c r="D1" s="18" t="inlineStr">
        <is>
          <t>Hiring evidence (1-5)</t>
        </is>
      </c>
      <c r="E1" s="18" t="inlineStr">
        <is>
          <t>Complexity (1-5)</t>
        </is>
      </c>
      <c r="F1" s="18" t="inlineStr">
        <is>
          <t>Product relevance (1-5; hypothesis)</t>
        </is>
      </c>
      <c r="G1" s="18" t="inlineStr">
        <is>
          <t>Research accessibility (1-5)</t>
        </is>
      </c>
      <c r="H1" s="18" t="inlineStr">
        <is>
          <t>Weighted score / 5</t>
        </is>
      </c>
      <c r="I1" s="18" t="inlineStr">
        <is>
          <t>Rank</t>
        </is>
      </c>
      <c r="J1" s="18" t="inlineStr">
        <is>
          <t>Evidence / rationale</t>
        </is>
      </c>
      <c r="K1" s="18" t="inlineStr">
        <is>
          <t>Assumption / uncertainty</t>
        </is>
      </c>
      <c r="L1" s="18" t="inlineStr">
        <is>
          <t>Official source URL</t>
        </is>
      </c>
      <c r="M1" s="18" t="inlineStr">
        <is>
          <t>Next research action</t>
        </is>
      </c>
    </row>
    <row r="2" ht="54" customHeight="1">
      <c r="A2" s="19" t="n">
        <v>1</v>
      </c>
      <c r="B2" s="19" t="inlineStr">
        <is>
          <t>Infosys</t>
        </is>
      </c>
      <c r="C2" s="19" t="inlineStr">
        <is>
          <t>IT services</t>
        </is>
      </c>
      <c r="D2" s="27" t="n">
        <v>4</v>
      </c>
      <c r="E2" s="27" t="n">
        <v>5</v>
      </c>
      <c r="F2" s="27" t="n">
        <v>4</v>
      </c>
      <c r="G2" s="27" t="n">
        <v>4</v>
      </c>
      <c r="H2" s="21">
        <f>SUMPRODUCT(D2:G2,'Scoring Guide'!$B$2:$B$5)</f>
        <v/>
      </c>
      <c r="I2" s="20">
        <f>RANK.EQ(H2,$H$2:$H$21,0)+COUNTIF($H$2:H2,H2)-1</f>
        <v/>
      </c>
      <c r="J2" s="19" t="inlineStr">
        <is>
          <t>India job portal lists multiple technology and consulting roles in Bengaluru, Hyderabad and Pune.</t>
        </is>
      </c>
      <c r="K2" s="19" t="inlineStr">
        <is>
          <t>Product relevance and research accessibility are analyst hypotheses; vendor, budget and buyer intent unknown. Unknown; not verified</t>
        </is>
      </c>
      <c r="L2" s="28" t="inlineStr">
        <is>
          <t>https://career.infosys.com/joblist</t>
        </is>
      </c>
      <c r="M2" s="19" t="inlineStr">
        <is>
          <t>Check hiring channels and whether verification is centralized.</t>
        </is>
      </c>
    </row>
    <row r="3" ht="54" customHeight="1">
      <c r="A3" s="22" t="n">
        <v>2</v>
      </c>
      <c r="B3" s="22" t="inlineStr">
        <is>
          <t>TCS</t>
        </is>
      </c>
      <c r="C3" s="22" t="inlineStr">
        <is>
          <t>IT services</t>
        </is>
      </c>
      <c r="D3" s="29" t="n">
        <v>3</v>
      </c>
      <c r="E3" s="29" t="n">
        <v>5</v>
      </c>
      <c r="F3" s="29" t="n">
        <v>3</v>
      </c>
      <c r="G3" s="29" t="n">
        <v>4</v>
      </c>
      <c r="H3" s="24">
        <f>SUMPRODUCT(D3:G3,'Scoring Guide'!$B$2:$B$5)</f>
        <v/>
      </c>
      <c r="I3" s="23">
        <f>RANK.EQ(H3,$H$2:$H$21,0)+COUNTIF($H$2:H3,H3)-1</f>
        <v/>
      </c>
      <c r="J3" s="22" t="inlineStr">
        <is>
          <t>India careers page offers entry-level and lateral recruitment; lists background-check agency partner access.</t>
        </is>
      </c>
      <c r="K3" s="22" t="inlineStr">
        <is>
          <t>Product relevance and research accessibility are analyst hypotheses; vendor, budget and buyer intent unknown. Unknown; not verified</t>
        </is>
      </c>
      <c r="L3" s="30" t="inlineStr">
        <is>
          <t>https://www.tcs.com/careers/india</t>
        </is>
      </c>
      <c r="M3" s="22" t="inlineStr">
        <is>
          <t>Research whether vendor access indicates an established screening ecosystem.</t>
        </is>
      </c>
    </row>
    <row r="4" ht="54" customHeight="1">
      <c r="A4" s="19" t="n">
        <v>3</v>
      </c>
      <c r="B4" s="19" t="inlineStr">
        <is>
          <t>Wipro</t>
        </is>
      </c>
      <c r="C4" s="19" t="inlineStr">
        <is>
          <t>IT services</t>
        </is>
      </c>
      <c r="D4" s="27" t="n">
        <v>5</v>
      </c>
      <c r="E4" s="27" t="n">
        <v>3</v>
      </c>
      <c r="F4" s="27" t="n">
        <v>3</v>
      </c>
      <c r="G4" s="27" t="n">
        <v>4</v>
      </c>
      <c r="H4" s="21">
        <f>SUMPRODUCT(D4:G4,'Scoring Guide'!$B$2:$B$5)</f>
        <v/>
      </c>
      <c r="I4" s="20">
        <f>RANK.EQ(H4,$H$2:$H$21,0)+COUNTIF($H$2:H4,H4)-1</f>
        <v/>
      </c>
      <c r="J4" s="19" t="inlineStr">
        <is>
          <t>Official Wipro job posting lists HR Business Partner role in Bengaluru dated 16 Oct 2026.</t>
        </is>
      </c>
      <c r="K4" s="19" t="inlineStr">
        <is>
          <t>Product relevance and research accessibility are analyst hypotheses; vendor, budget and buyer intent unknown. Unknown; not verified</t>
        </is>
      </c>
      <c r="L4" s="28" t="inlineStr">
        <is>
          <t>https://careers.wipro.com/job/Bengaluru-HR-Business-Partner-IND-560035/210624-en_US/</t>
        </is>
      </c>
      <c r="M4" s="19" t="inlineStr">
        <is>
          <t>Find additional current roles and screening policy.</t>
        </is>
      </c>
    </row>
    <row r="5" ht="54" customHeight="1">
      <c r="A5" s="22" t="n">
        <v>4</v>
      </c>
      <c r="B5" s="22" t="inlineStr">
        <is>
          <t>HCLTech</t>
        </is>
      </c>
      <c r="C5" s="22" t="inlineStr">
        <is>
          <t>IT services</t>
        </is>
      </c>
      <c r="D5" s="29" t="n">
        <v>3</v>
      </c>
      <c r="E5" s="29" t="n">
        <v>4</v>
      </c>
      <c r="F5" s="29" t="n">
        <v>4</v>
      </c>
      <c r="G5" s="29" t="n">
        <v>3</v>
      </c>
      <c r="H5" s="24">
        <f>SUMPRODUCT(D5:G5,'Scoring Guide'!$B$2:$B$5)</f>
        <v/>
      </c>
      <c r="I5" s="23">
        <f>RANK.EQ(H5,$H$2:$H$21,0)+COUNTIF($H$2:H5,H5)-1</f>
        <v/>
      </c>
      <c r="J5" s="22" t="inlineStr">
        <is>
          <t>Official India careers portal publishes India openings and job alerts.</t>
        </is>
      </c>
      <c r="K5" s="22" t="inlineStr">
        <is>
          <t>Product relevance and research accessibility are analyst hypotheses; vendor, budget and buyer intent unknown. Unknown; not verified</t>
        </is>
      </c>
      <c r="L5" s="30" t="inlineStr">
        <is>
          <t>https://careers.hcltech.com/go/India/9553955/</t>
        </is>
      </c>
      <c r="M5" s="22" t="inlineStr">
        <is>
          <t>Find individual dated India vacancies.</t>
        </is>
      </c>
    </row>
    <row r="6" ht="54" customHeight="1">
      <c r="A6" s="19" t="n">
        <v>5</v>
      </c>
      <c r="B6" s="19" t="inlineStr">
        <is>
          <t>Tech Mahindra</t>
        </is>
      </c>
      <c r="C6" s="19" t="inlineStr">
        <is>
          <t>IT services</t>
        </is>
      </c>
      <c r="D6" s="27" t="n">
        <v>4</v>
      </c>
      <c r="E6" s="27" t="n">
        <v>4</v>
      </c>
      <c r="F6" s="27" t="n">
        <v>4</v>
      </c>
      <c r="G6" s="27" t="n">
        <v>4</v>
      </c>
      <c r="H6" s="21">
        <f>SUMPRODUCT(D6:G6,'Scoring Guide'!$B$2:$B$5)</f>
        <v/>
      </c>
      <c r="I6" s="20">
        <f>RANK.EQ(H6,$H$2:$H$21,0)+COUNTIF($H$2:H6,H6)-1</f>
        <v/>
      </c>
      <c r="J6" s="19" t="inlineStr">
        <is>
          <t>Official job portal lists Bengaluru engineering, Hyderabad network, Kolkata data science and Mumbai cybersecurity roles.</t>
        </is>
      </c>
      <c r="K6" s="19" t="inlineStr">
        <is>
          <t>Product relevance and research accessibility are analyst hypotheses; vendor, budget and buyer intent unknown. Unknown; not verified</t>
        </is>
      </c>
      <c r="L6" s="28" t="inlineStr">
        <is>
          <t>https://careers.techmahindra.com/</t>
        </is>
      </c>
      <c r="M6" s="19" t="inlineStr">
        <is>
          <t>Review hiring divisions and existing screening workflow.</t>
        </is>
      </c>
    </row>
    <row r="7" ht="54" customHeight="1">
      <c r="A7" s="22" t="n">
        <v>6</v>
      </c>
      <c r="B7" s="22" t="inlineStr">
        <is>
          <t>Coforge</t>
        </is>
      </c>
      <c r="C7" s="22" t="inlineStr">
        <is>
          <t>IT services</t>
        </is>
      </c>
      <c r="D7" s="29" t="n">
        <v>5</v>
      </c>
      <c r="E7" s="29" t="n">
        <v>5</v>
      </c>
      <c r="F7" s="29" t="n">
        <v>4</v>
      </c>
      <c r="G7" s="29" t="n">
        <v>5</v>
      </c>
      <c r="H7" s="24">
        <f>SUMPRODUCT(D7:G7,'Scoring Guide'!$B$2:$B$5)</f>
        <v/>
      </c>
      <c r="I7" s="23">
        <f>RANK.EQ(H7,$H$2:$H$21,0)+COUNTIF($H$2:H7,H7)-1</f>
        <v/>
      </c>
      <c r="J7" s="22" t="inlineStr">
        <is>
          <t>Official portal lists 107 India openings and cities including Greater Noida, Bengaluru, Hyderabad, Chennai (changing snapshot).</t>
        </is>
      </c>
      <c r="K7" s="22" t="inlineStr">
        <is>
          <t>Product relevance and research accessibility are analyst hypotheses; vendor, budget and buyer intent unknown. Unknown; not verified</t>
        </is>
      </c>
      <c r="L7" s="30" t="inlineStr">
        <is>
          <t>https://careers.coforge.com/coforge/</t>
        </is>
      </c>
      <c r="M7" s="22" t="inlineStr">
        <is>
          <t>Refresh India job count; investigate BPS versus IT hiring.</t>
        </is>
      </c>
    </row>
    <row r="8" ht="54" customHeight="1">
      <c r="A8" s="19" t="n">
        <v>7</v>
      </c>
      <c r="B8" s="19" t="inlineStr">
        <is>
          <t>Persistent Systems</t>
        </is>
      </c>
      <c r="C8" s="19" t="inlineStr">
        <is>
          <t>Digital engineering</t>
        </is>
      </c>
      <c r="D8" s="27" t="n">
        <v>4</v>
      </c>
      <c r="E8" s="27" t="n">
        <v>3</v>
      </c>
      <c r="F8" s="27" t="n">
        <v>3</v>
      </c>
      <c r="G8" s="27" t="n">
        <v>4</v>
      </c>
      <c r="H8" s="21">
        <f>SUMPRODUCT(D8:G8,'Scoring Guide'!$B$2:$B$5)</f>
        <v/>
      </c>
      <c r="I8" s="20">
        <f>RANK.EQ(H8,$H$2:$H$21,0)+COUNTIF($H$2:H8,H8)-1</f>
        <v/>
      </c>
      <c r="J8" s="19" t="inlineStr">
        <is>
          <t>Official job posting describes Senior Network Security Engineer in Noida.</t>
        </is>
      </c>
      <c r="K8" s="19" t="inlineStr">
        <is>
          <t>Product relevance and research accessibility are analyst hypotheses; vendor, budget and buyer intent unknown. Unknown; not verified</t>
        </is>
      </c>
      <c r="L8" s="28" t="inlineStr">
        <is>
          <t>https://careers.persistent.com/jobview/dev-lead-india-noida-2026100716131920</t>
        </is>
      </c>
      <c r="M8" s="19" t="inlineStr">
        <is>
          <t>Find hiring volume indicators and screening ownership.</t>
        </is>
      </c>
    </row>
    <row r="9" ht="54" customHeight="1">
      <c r="A9" s="22" t="n">
        <v>8</v>
      </c>
      <c r="B9" s="22" t="inlineStr">
        <is>
          <t>Birlasoft</t>
        </is>
      </c>
      <c r="C9" s="22" t="inlineStr">
        <is>
          <t>IT services</t>
        </is>
      </c>
      <c r="D9" s="29" t="n">
        <v>5</v>
      </c>
      <c r="E9" s="29" t="n">
        <v>4</v>
      </c>
      <c r="F9" s="29" t="n">
        <v>4</v>
      </c>
      <c r="G9" s="29" t="n">
        <v>4</v>
      </c>
      <c r="H9" s="24">
        <f>SUMPRODUCT(D9:G9,'Scoring Guide'!$B$2:$B$5)</f>
        <v/>
      </c>
      <c r="I9" s="23">
        <f>RANK.EQ(H9,$H$2:$H$21,0)+COUNTIF($H$2:H9,H9)-1</f>
        <v/>
      </c>
      <c r="J9" s="22" t="inlineStr">
        <is>
          <t>Official India openings portal lists 22 Oct 2026 vacancies in Hyderabad, Pune, Noida and Bengaluru.</t>
        </is>
      </c>
      <c r="K9" s="22" t="inlineStr">
        <is>
          <t>Product relevance and research accessibility are analyst hypotheses; vendor, budget and buyer intent unknown. Unknown; not verified</t>
        </is>
      </c>
      <c r="L9" s="30" t="inlineStr">
        <is>
          <t>https://jobs.birlasoft.com/go/India/684744/</t>
        </is>
      </c>
      <c r="M9" s="22" t="inlineStr">
        <is>
          <t>Confirm current postings and relevant HR decision function.</t>
        </is>
      </c>
    </row>
    <row r="10" ht="54" customHeight="1">
      <c r="A10" s="19" t="n">
        <v>9</v>
      </c>
      <c r="B10" s="19" t="inlineStr">
        <is>
          <t>Zensar Technologies</t>
        </is>
      </c>
      <c r="C10" s="19" t="inlineStr">
        <is>
          <t>IT services</t>
        </is>
      </c>
      <c r="D10" s="27" t="n">
        <v>3</v>
      </c>
      <c r="E10" s="27" t="n">
        <v>3</v>
      </c>
      <c r="F10" s="27" t="n">
        <v>3</v>
      </c>
      <c r="G10" s="27" t="n">
        <v>3</v>
      </c>
      <c r="H10" s="21">
        <f>SUMPRODUCT(D10:G10,'Scoring Guide'!$B$2:$B$5)</f>
        <v/>
      </c>
      <c r="I10" s="20">
        <f>RANK.EQ(H10,$H$2:$H$21,0)+COUNTIF($H$2:H10,H10)-1</f>
        <v/>
      </c>
      <c r="J10" s="19" t="inlineStr">
        <is>
          <t>Official careers site offers India/APAC opportunity search and describes global teams including Pune.</t>
        </is>
      </c>
      <c r="K10" s="19" t="inlineStr">
        <is>
          <t>Product relevance and research accessibility are analyst hypotheses; vendor, budget and buyer intent unknown. Unknown; not verified</t>
        </is>
      </c>
      <c r="L10" s="28" t="inlineStr">
        <is>
          <t>https://www.zensar.com/careers</t>
        </is>
      </c>
      <c r="M10" s="19" t="inlineStr">
        <is>
          <t>Identify a specific India opening before personalization.</t>
        </is>
      </c>
    </row>
    <row r="11" ht="54" customHeight="1">
      <c r="A11" s="22" t="n">
        <v>10</v>
      </c>
      <c r="B11" s="22" t="inlineStr">
        <is>
          <t>Zoho</t>
        </is>
      </c>
      <c r="C11" s="22" t="inlineStr">
        <is>
          <t>SaaS</t>
        </is>
      </c>
      <c r="D11" s="29" t="n">
        <v>3</v>
      </c>
      <c r="E11" s="29" t="n">
        <v>3</v>
      </c>
      <c r="F11" s="29" t="n">
        <v>3</v>
      </c>
      <c r="G11" s="29" t="n">
        <v>3</v>
      </c>
      <c r="H11" s="24">
        <f>SUMPRODUCT(D11:G11,'Scoring Guide'!$B$2:$B$5)</f>
        <v/>
      </c>
      <c r="I11" s="23">
        <f>RANK.EQ(H11,$H$2:$H$21,0)+COUNTIF($H$2:H11,H11)-1</f>
        <v/>
      </c>
      <c r="J11" s="22" t="inlineStr">
        <is>
          <t>Official careers page offers open roles and candidate portal; lists Chennai and Tenkasi offices.</t>
        </is>
      </c>
      <c r="K11" s="22" t="inlineStr">
        <is>
          <t>Product relevance and research accessibility are analyst hypotheses; vendor, budget and buyer intent unknown. Unknown; not verified</t>
        </is>
      </c>
      <c r="L11" s="30" t="inlineStr">
        <is>
          <t>https://www.zoho.com/careers/</t>
        </is>
      </c>
      <c r="M11" s="22" t="inlineStr">
        <is>
          <t>Confirm India vacancies and whether screening is in-house.</t>
        </is>
      </c>
    </row>
    <row r="12" ht="54" customHeight="1">
      <c r="A12" s="19" t="n">
        <v>11</v>
      </c>
      <c r="B12" s="19" t="inlineStr">
        <is>
          <t>Postman</t>
        </is>
      </c>
      <c r="C12" s="19" t="inlineStr">
        <is>
          <t>SaaS</t>
        </is>
      </c>
      <c r="D12" s="27" t="n">
        <v>4</v>
      </c>
      <c r="E12" s="27" t="n">
        <v>4</v>
      </c>
      <c r="F12" s="27" t="n">
        <v>4</v>
      </c>
      <c r="G12" s="27" t="n">
        <v>5</v>
      </c>
      <c r="H12" s="21">
        <f>SUMPRODUCT(D12:G12,'Scoring Guide'!$B$2:$B$5)</f>
        <v/>
      </c>
      <c r="I12" s="20">
        <f>RANK.EQ(H12,$H$2:$H$21,0)+COUNTIF($H$2:H12,H12)-1</f>
        <v/>
      </c>
      <c r="J12" s="19" t="inlineStr">
        <is>
          <t>Official portal lists Bangalore engineering and sales compensation roles; 29 global open positions at snapshot.</t>
        </is>
      </c>
      <c r="K12" s="19" t="inlineStr">
        <is>
          <t>Product relevance and research accessibility are analyst hypotheses; vendor, budget and buyer intent unknown. Unknown; not verified</t>
        </is>
      </c>
      <c r="L12" s="28" t="inlineStr">
        <is>
          <t>https://www.postman.com/company/careers/open-positions/</t>
        </is>
      </c>
      <c r="M12" s="19" t="inlineStr">
        <is>
          <t>Verify Bangalore roles remain open; research procurement.</t>
        </is>
      </c>
    </row>
    <row r="13" ht="54" customHeight="1">
      <c r="A13" s="22" t="n">
        <v>12</v>
      </c>
      <c r="B13" s="22" t="inlineStr">
        <is>
          <t>CleverTap</t>
        </is>
      </c>
      <c r="C13" s="22" t="inlineStr">
        <is>
          <t>SaaS</t>
        </is>
      </c>
      <c r="D13" s="29" t="n">
        <v>5</v>
      </c>
      <c r="E13" s="29" t="n">
        <v>4</v>
      </c>
      <c r="F13" s="29" t="n">
        <v>4</v>
      </c>
      <c r="G13" s="29" t="n">
        <v>5</v>
      </c>
      <c r="H13" s="24">
        <f>SUMPRODUCT(D13:G13,'Scoring Guide'!$B$2:$B$5)</f>
        <v/>
      </c>
      <c r="I13" s="23">
        <f>RANK.EQ(H13,$H$2:$H$21,0)+COUNTIF($H$2:H13,H13)-1</f>
        <v/>
      </c>
      <c r="J13" s="22" t="inlineStr">
        <is>
          <t>Official careers page reports 550+ employees and lists openings in Bangalore and Gurgaon.</t>
        </is>
      </c>
      <c r="K13" s="22" t="inlineStr">
        <is>
          <t>Product relevance and research accessibility are analyst hypotheses; vendor, budget and buyer intent unknown. Unknown; not verified</t>
        </is>
      </c>
      <c r="L13" s="30" t="inlineStr">
        <is>
          <t>https://clevertap.com/careers/</t>
        </is>
      </c>
      <c r="M13" s="22" t="inlineStr">
        <is>
          <t>Review India roles and existing HR tools.</t>
        </is>
      </c>
    </row>
    <row r="14" ht="54" customHeight="1">
      <c r="A14" s="19" t="n">
        <v>13</v>
      </c>
      <c r="B14" s="19" t="inlineStr">
        <is>
          <t>Whatfix</t>
        </is>
      </c>
      <c r="C14" s="19" t="inlineStr">
        <is>
          <t>SaaS</t>
        </is>
      </c>
      <c r="D14" s="27" t="n">
        <v>4</v>
      </c>
      <c r="E14" s="27" t="n">
        <v>3</v>
      </c>
      <c r="F14" s="27" t="n">
        <v>4</v>
      </c>
      <c r="G14" s="27" t="n">
        <v>4</v>
      </c>
      <c r="H14" s="21">
        <f>SUMPRODUCT(D14:G14,'Scoring Guide'!$B$2:$B$5)</f>
        <v/>
      </c>
      <c r="I14" s="20">
        <f>RANK.EQ(H14,$H$2:$H$21,0)+COUNTIF($H$2:H14,H14)-1</f>
        <v/>
      </c>
      <c r="J14" s="19" t="inlineStr">
        <is>
          <t>Official hiring portal shows Bengaluru finance, engineering and security vacancies; official site describes AI screening for some roles.</t>
        </is>
      </c>
      <c r="K14" s="19" t="inlineStr">
        <is>
          <t>Product relevance and research accessibility are analyst hypotheses; vendor, budget and buyer intent unknown. Unknown; not verified</t>
        </is>
      </c>
      <c r="L14" s="28" t="inlineStr">
        <is>
          <t>https://whatfix101.hire.trakstar.com/</t>
        </is>
      </c>
      <c r="M14" s="19" t="inlineStr">
        <is>
          <t>Check whether post-offer verification is distinct from AI interviews.</t>
        </is>
      </c>
    </row>
    <row r="15" ht="54" customHeight="1">
      <c r="A15" s="22" t="n">
        <v>14</v>
      </c>
      <c r="B15" s="22" t="inlineStr">
        <is>
          <t>Darwinbox</t>
        </is>
      </c>
      <c r="C15" s="22" t="inlineStr">
        <is>
          <t>HR SaaS</t>
        </is>
      </c>
      <c r="D15" s="29" t="n">
        <v>3</v>
      </c>
      <c r="E15" s="29" t="n">
        <v>4</v>
      </c>
      <c r="F15" s="29" t="n">
        <v>5</v>
      </c>
      <c r="G15" s="29" t="n">
        <v>4</v>
      </c>
      <c r="H15" s="24">
        <f>SUMPRODUCT(D15:G15,'Scoring Guide'!$B$2:$B$5)</f>
        <v/>
      </c>
      <c r="I15" s="23">
        <f>RANK.EQ(H15,$H$2:$H$21,0)+COUNTIF($H$2:H15,H15)-1</f>
        <v/>
      </c>
      <c r="J15" s="22" t="inlineStr">
        <is>
          <t>Official careers page lists India locations Hyderabad, Mumbai, Gurugram, Bengaluru, Chennai and role families.</t>
        </is>
      </c>
      <c r="K15" s="22" t="inlineStr">
        <is>
          <t>Product relevance and research accessibility are analyst hypotheses; vendor, budget and buyer intent unknown. Unknown; not verified</t>
        </is>
      </c>
      <c r="L15" s="30" t="inlineStr">
        <is>
          <t>https://darwinbox.com/en-us/careers</t>
        </is>
      </c>
      <c r="M15" s="22" t="inlineStr">
        <is>
          <t>Evaluate HRMS integration and competitor/partner overlap.</t>
        </is>
      </c>
    </row>
    <row r="16" ht="54" customHeight="1">
      <c r="A16" s="19" t="n">
        <v>15</v>
      </c>
      <c r="B16" s="19" t="inlineStr">
        <is>
          <t>Kissflow</t>
        </is>
      </c>
      <c r="C16" s="19" t="inlineStr">
        <is>
          <t>SaaS</t>
        </is>
      </c>
      <c r="D16" s="27" t="n">
        <v>3</v>
      </c>
      <c r="E16" s="27" t="n">
        <v>2</v>
      </c>
      <c r="F16" s="27" t="n">
        <v>3</v>
      </c>
      <c r="G16" s="27" t="n">
        <v>3</v>
      </c>
      <c r="H16" s="21">
        <f>SUMPRODUCT(D16:G16,'Scoring Guide'!$B$2:$B$5)</f>
        <v/>
      </c>
      <c r="I16" s="20">
        <f>RANK.EQ(H16,$H$2:$H$21,0)+COUNTIF($H$2:H16,H16)-1</f>
        <v/>
      </c>
      <c r="J16" s="19" t="inlineStr">
        <is>
          <t>Official careers page lists Solution Advisor and Client Director openings.</t>
        </is>
      </c>
      <c r="K16" s="19" t="inlineStr">
        <is>
          <t>Product relevance and research accessibility are analyst hypotheses; vendor, budget and buyer intent unknown. Unknown; not verified</t>
        </is>
      </c>
      <c r="L16" s="28" t="inlineStr">
        <is>
          <t>https://careers.kissflow.com/</t>
        </is>
      </c>
      <c r="M16" s="19" t="inlineStr">
        <is>
          <t>Verify whether listed roles are India-based.</t>
        </is>
      </c>
    </row>
    <row r="17" ht="54" customHeight="1">
      <c r="A17" s="22" t="n">
        <v>16</v>
      </c>
      <c r="B17" s="22" t="inlineStr">
        <is>
          <t>Chargebee</t>
        </is>
      </c>
      <c r="C17" s="22" t="inlineStr">
        <is>
          <t>SaaS</t>
        </is>
      </c>
      <c r="D17" s="29" t="n">
        <v>2</v>
      </c>
      <c r="E17" s="29" t="n">
        <v>2</v>
      </c>
      <c r="F17" s="29" t="n">
        <v>3</v>
      </c>
      <c r="G17" s="29" t="n">
        <v>3</v>
      </c>
      <c r="H17" s="24">
        <f>SUMPRODUCT(D17:G17,'Scoring Guide'!$B$2:$B$5)</f>
        <v/>
      </c>
      <c r="I17" s="23">
        <f>RANK.EQ(H17,$H$2:$H$21,0)+COUNTIF($H$2:H17,H17)-1</f>
        <v/>
      </c>
      <c r="J17" s="22" t="inlineStr">
        <is>
          <t>Official recruitment guide describes recruiter screening, assignments and functional interviews.</t>
        </is>
      </c>
      <c r="K17" s="22" t="inlineStr">
        <is>
          <t>Product relevance and research accessibility are analyst hypotheses; vendor, budget and buyer intent unknown. Unknown; not verified</t>
        </is>
      </c>
      <c r="L17" s="30" t="inlineStr">
        <is>
          <t>https://www.chargebee.com/company/careers/join-us/</t>
        </is>
      </c>
      <c r="M17" s="22" t="inlineStr">
        <is>
          <t>Find current India vacancies; do not assume active hiring.</t>
        </is>
      </c>
    </row>
    <row r="18" ht="54" customHeight="1">
      <c r="A18" s="19" t="n">
        <v>17</v>
      </c>
      <c r="B18" s="19" t="inlineStr">
        <is>
          <t>HighRadius</t>
        </is>
      </c>
      <c r="C18" s="19" t="inlineStr">
        <is>
          <t>SaaS</t>
        </is>
      </c>
      <c r="D18" s="27" t="n">
        <v>5</v>
      </c>
      <c r="E18" s="27" t="n">
        <v>4</v>
      </c>
      <c r="F18" s="27" t="n">
        <v>4</v>
      </c>
      <c r="G18" s="27" t="n">
        <v>5</v>
      </c>
      <c r="H18" s="21">
        <f>SUMPRODUCT(D18:G18,'Scoring Guide'!$B$2:$B$5)</f>
        <v/>
      </c>
      <c r="I18" s="20">
        <f>RANK.EQ(H18,$H$2:$H$21,0)+COUNTIF($H$2:H18,H18)-1</f>
        <v/>
      </c>
      <c r="J18" s="19" t="inlineStr">
        <is>
          <t>Official careers page lists Hyderabad roles dated 2026, including Employee Experience Partner and engineering positions.</t>
        </is>
      </c>
      <c r="K18" s="19" t="inlineStr">
        <is>
          <t>Product relevance and research accessibility are analyst hypotheses; vendor, budget and buyer intent unknown. Unknown; not verified</t>
        </is>
      </c>
      <c r="L18" s="28" t="inlineStr">
        <is>
          <t>https://www.highradius.com/about/career/</t>
        </is>
      </c>
      <c r="M18" s="19" t="inlineStr">
        <is>
          <t>Confirm which Hyderabad roles are open and buyer responsibility.</t>
        </is>
      </c>
    </row>
    <row r="19" ht="54" customHeight="1">
      <c r="A19" s="22" t="n">
        <v>18</v>
      </c>
      <c r="B19" s="22" t="inlineStr">
        <is>
          <t>Freshworks</t>
        </is>
      </c>
      <c r="C19" s="22" t="inlineStr">
        <is>
          <t>SaaS</t>
        </is>
      </c>
      <c r="D19" s="29" t="n">
        <v>4</v>
      </c>
      <c r="E19" s="29" t="n">
        <v>4</v>
      </c>
      <c r="F19" s="29" t="n">
        <v>4</v>
      </c>
      <c r="G19" s="29" t="n">
        <v>4</v>
      </c>
      <c r="H19" s="24">
        <f>SUMPRODUCT(D19:G19,'Scoring Guide'!$B$2:$B$5)</f>
        <v/>
      </c>
      <c r="I19" s="23">
        <f>RANK.EQ(H19,$H$2:$H$21,0)+COUNTIF($H$2:H19,H19)-1</f>
        <v/>
      </c>
      <c r="J19" s="22" t="inlineStr">
        <is>
          <t>Official recruiting platform lists India vacancies in Bengaluru and Chennai.</t>
        </is>
      </c>
      <c r="K19" s="22" t="inlineStr">
        <is>
          <t>Product relevance and research accessibility are analyst hypotheses; vendor, budget and buyer intent unknown. Unknown; not verified</t>
        </is>
      </c>
      <c r="L19" s="30" t="inlineStr">
        <is>
          <t>https://careers.smartrecruiters.com/Freshworks</t>
        </is>
      </c>
      <c r="M19" s="22" t="inlineStr">
        <is>
          <t>Check recent role mix and existing HR workflows.</t>
        </is>
      </c>
    </row>
    <row r="20" ht="54" customHeight="1">
      <c r="A20" s="19" t="n">
        <v>19</v>
      </c>
      <c r="B20" s="19" t="inlineStr">
        <is>
          <t>MoEngage</t>
        </is>
      </c>
      <c r="C20" s="19" t="inlineStr">
        <is>
          <t>SaaS</t>
        </is>
      </c>
      <c r="D20" s="27" t="n">
        <v>3</v>
      </c>
      <c r="E20" s="27" t="n">
        <v>3</v>
      </c>
      <c r="F20" s="27" t="n">
        <v>3</v>
      </c>
      <c r="G20" s="27" t="n">
        <v>3</v>
      </c>
      <c r="H20" s="21">
        <f>SUMPRODUCT(D20:G20,'Scoring Guide'!$B$2:$B$5)</f>
        <v/>
      </c>
      <c r="I20" s="20">
        <f>RANK.EQ(H20,$H$2:$H$21,0)+COUNTIF($H$2:H20,H20)-1</f>
        <v/>
      </c>
      <c r="J20" s="19" t="inlineStr">
        <is>
          <t>Official careers site provides applications for Engineering, Sales, Customer Success and People &amp; Culture.</t>
        </is>
      </c>
      <c r="K20" s="19" t="inlineStr">
        <is>
          <t>Product relevance and research accessibility are analyst hypotheses; vendor, budget and buyer intent unknown. Unknown; not verified</t>
        </is>
      </c>
      <c r="L20" s="28" t="inlineStr">
        <is>
          <t>https://www.moengage.com/careers/</t>
        </is>
      </c>
      <c r="M20" s="19" t="inlineStr">
        <is>
          <t>Confirm current India openings and hiring cadence.</t>
        </is>
      </c>
    </row>
    <row r="21" ht="54" customHeight="1">
      <c r="A21" s="22" t="n">
        <v>20</v>
      </c>
      <c r="B21" s="22" t="inlineStr">
        <is>
          <t>BrowserStack</t>
        </is>
      </c>
      <c r="C21" s="22" t="inlineStr">
        <is>
          <t>SaaS</t>
        </is>
      </c>
      <c r="D21" s="29" t="n">
        <v>4</v>
      </c>
      <c r="E21" s="29" t="n">
        <v>3</v>
      </c>
      <c r="F21" s="29" t="n">
        <v>4</v>
      </c>
      <c r="G21" s="29" t="n">
        <v>4</v>
      </c>
      <c r="H21" s="24">
        <f>SUMPRODUCT(D21:G21,'Scoring Guide'!$B$2:$B$5)</f>
        <v/>
      </c>
      <c r="I21" s="23">
        <f>RANK.EQ(H21,$H$2:$H$21,0)+COUNTIF($H$2:H21,H21)-1</f>
        <v/>
      </c>
      <c r="J21" s="22" t="inlineStr">
        <is>
          <t>Official Workday listing advertises Business Development Representative, India Remote.</t>
        </is>
      </c>
      <c r="K21" s="22" t="inlineStr">
        <is>
          <t>Product relevance and research accessibility are analyst hypotheses; vendor, budget and buyer intent unknown. Unknown; not verified</t>
        </is>
      </c>
      <c r="L21" s="30" t="inlineStr">
        <is>
          <t>https://browserstack.wd3.myworkdayjobs.com/en-US/External/job/Sales-Development-Representative_JR103474</t>
        </is>
      </c>
      <c r="M21" s="22" t="inlineStr">
        <is>
          <t>Confirm listing still active and how remote hiring is screened.</t>
        </is>
      </c>
    </row>
  </sheetData>
  <autoFilter ref="A1:M21"/>
  <dataValidations count="1">
    <dataValidation sqref="D2:G21" showDropDown="0" showInputMessage="0" showErrorMessage="1" allowBlank="0" error="Choose a score from 1 to 5" type="whole" operator="between">
      <formula1>1</formula1>
      <formula2>5</formula2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7" customWidth="1" min="2" max="2"/>
    <col width="115" customWidth="1" min="3" max="3"/>
  </cols>
  <sheetData>
    <row r="1" ht="34" customHeight="1">
      <c r="A1" s="18" t="inlineStr">
        <is>
          <t>CRITERION</t>
        </is>
      </c>
      <c r="B1" s="18" t="inlineStr">
        <is>
          <t>WEIGHT</t>
        </is>
      </c>
      <c r="C1" s="18" t="inlineStr">
        <is>
          <t>SCORING RUBRIC / LIMITATION</t>
        </is>
      </c>
    </row>
    <row r="2" ht="76" customHeight="1">
      <c r="A2" s="19" t="inlineStr">
        <is>
          <t>Hiring evidence strength</t>
        </is>
      </c>
      <c r="B2" s="31" t="n">
        <v>0.4</v>
      </c>
      <c r="C2" s="19" t="inlineStr">
        <is>
          <t>5 = dated/specific India openings; 4 = specific vacancies or portal count; 3 = recruitment portal or channels; 2 = recruitment-process page; 1 = weak/general evidence.</t>
        </is>
      </c>
    </row>
    <row r="3" ht="76" customHeight="1">
      <c r="A3" s="22" t="inlineStr">
        <is>
          <t>Hiring complexity signals</t>
        </is>
      </c>
      <c r="B3" s="32" t="n">
        <v>0.25</v>
      </c>
      <c r="C3" s="22" t="inlineStr">
        <is>
          <t>5 = documented multi-location AND multiple hiring channels/functions; 4 = multi-location or multi-function; 3 = some location/function breadth; 2 = limited detail; 1 = no details.</t>
        </is>
      </c>
    </row>
    <row r="4" ht="76" customHeight="1">
      <c r="A4" s="19" t="inlineStr">
        <is>
          <t>Potential product relevance</t>
        </is>
      </c>
      <c r="B4" s="31" t="n">
        <v>0.2</v>
      </c>
      <c r="C4" s="19" t="inlineStr">
        <is>
          <t>Analyst hypothesis only: 5 = clear process integration angle; 4 = multi-team screening workflow; 3 = general screening use case; 2 = uncertain; 1 = weak.</t>
        </is>
      </c>
    </row>
    <row r="5" ht="76" customHeight="1">
      <c r="A5" s="22" t="inlineStr">
        <is>
          <t>Research accessibility</t>
        </is>
      </c>
      <c r="B5" s="32" t="n">
        <v>0.15</v>
      </c>
      <c r="C5" s="22" t="inlineStr">
        <is>
          <t>Analyst assessment: 5 = detailed official jobs and roles; 4 = usable jobs/location information; 3 = careers page; 2 = limited detail; 1 = sparse.</t>
        </is>
      </c>
    </row>
    <row r="6" ht="76" customHeight="1">
      <c r="A6" s="19" t="inlineStr">
        <is>
          <t>IMPORTANT</t>
        </is>
      </c>
      <c r="B6" s="19" t="inlineStr">
        <is>
          <t>Scores are research prioritization judgments, NOT vendor-fit validation, buyer intent, sales opportunity, or revenue forecast.</t>
        </is>
      </c>
      <c r="C6" s="19" t="n"/>
    </row>
    <row r="7" ht="76" customHeight="1">
      <c r="A7" s="22" t="inlineStr">
        <is>
          <t>Evidence</t>
        </is>
      </c>
      <c r="B7" s="22" t="inlineStr">
        <is>
          <t>Source URLs and original descriptions are retained on Account Research.</t>
        </is>
      </c>
      <c r="C7" s="22" t="n"/>
    </row>
    <row r="8" ht="76" customHeight="1">
      <c r="A8" s="19" t="inlineStr">
        <is>
          <t>Scoring</t>
        </is>
      </c>
      <c r="B8" s="19" t="inlineStr">
        <is>
          <t>All four scores are editable analyst inputs. Weight and total formulas recalculate in Excel.</t>
        </is>
      </c>
      <c r="C8" s="19" t="n"/>
    </row>
    <row r="9" ht="76" customHeight="1">
      <c r="A9" s="22" t="inlineStr">
        <is>
          <t>Caution</t>
        </is>
      </c>
      <c r="B9" s="22" t="inlineStr">
        <is>
          <t>Higher score may favor information-rich large enterprises; procurement access remains unknown.</t>
        </is>
      </c>
      <c r="C9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2026-10-23T05:55:31Z</dcterms:created>
  <dcterms:modified xmlns:dcterms="http://purl.org/dc/terms/" xmlns:xsi="http://www.w3.org/2001/XMLSchema-instance" xsi:type="dcterms:W3CDTF">2026-10-23T05:57:03Z</dcterms:modified>
</cp:coreProperties>
</file>